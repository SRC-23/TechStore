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ebasrc\Downloads\ecommerce-tech\"/>
    </mc:Choice>
  </mc:AlternateContent>
  <xr:revisionPtr revIDLastSave="0" documentId="13_ncr:1_{DFD5414E-1B87-48E7-8E5E-6EAB4ED7744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asos de prueba" sheetId="1" r:id="rId1"/>
    <sheet name="Trazabilidad" sheetId="2" r:id="rId2"/>
    <sheet name="Resumen" sheetId="3" r:id="rId3"/>
  </sheets>
  <definedNames>
    <definedName name="_xlnm._FilterDatabase" localSheetId="0" hidden="1">'Casos de prueba'!$B$7:$L$147</definedName>
    <definedName name="_xlnm.Print_Area" localSheetId="0">'Casos de prueba'!$B$2:$L$147</definedName>
    <definedName name="_xlnm.Print_Area" localSheetId="2">Resumen!$B$2:$G$12</definedName>
    <definedName name="_xlnm.Print_Area" localSheetId="1">Trazabilidad!$B$2:$G$44</definedName>
    <definedName name="_xlnm.Print_Titles" localSheetId="0">'Casos de prueba'!$7:$7</definedName>
    <definedName name="_xlnm.Print_Titles" localSheetId="1">Trazabilidad!$4:$4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3" l="1"/>
  <c r="C7" i="3"/>
  <c r="C6" i="3"/>
  <c r="C5" i="3"/>
  <c r="C9" i="3" s="1"/>
  <c r="C4" i="3"/>
</calcChain>
</file>

<file path=xl/sharedStrings.xml><?xml version="1.0" encoding="utf-8"?>
<sst xmlns="http://schemas.openxmlformats.org/spreadsheetml/2006/main" count="1616" uniqueCount="855">
  <si>
    <t>Creado por:</t>
  </si>
  <si>
    <t>Sebastián R. (Grupo 5)</t>
  </si>
  <si>
    <t>Revisado por:</t>
  </si>
  <si>
    <t>Alfredo Rodríguez (cliente, TechStore)</t>
  </si>
  <si>
    <t>Asignado a:</t>
  </si>
  <si>
    <t>Grupo par asignado (QA03)</t>
  </si>
  <si>
    <t>Plataforma:</t>
  </si>
  <si>
    <t>Web – TechStore v1.0 – Ambiente QA en AWS Elastic Beanstalk (&lt;URL_QA&gt;) – Chrome, Edge, Firefox</t>
  </si>
  <si>
    <t>Módulo (Suite)</t>
  </si>
  <si>
    <t>ID Caso</t>
  </si>
  <si>
    <t>Escenario de prueba</t>
  </si>
  <si>
    <t>Precondiciones</t>
  </si>
  <si>
    <t>Pasos</t>
  </si>
  <si>
    <t>Resultado esperado</t>
  </si>
  <si>
    <t>Prioridad</t>
  </si>
  <si>
    <t>Tipo de ejecución</t>
  </si>
  <si>
    <t>Fecha de ejecución</t>
  </si>
  <si>
    <t>Resultado</t>
  </si>
  <si>
    <t>Comentarios</t>
  </si>
  <si>
    <t>Autenticación</t>
  </si>
  <si>
    <t>TC-001</t>
  </si>
  <si>
    <t>Verificar que un visitante puede registrarse con datos válidos</t>
  </si>
  <si>
    <t>Email ana.qa01@test.com no registrado.</t>
  </si>
  <si>
    <t>1. Ingresar a &lt;URL_QA&gt;/register
2. Nombre: Ana / Apellido: Pérez
3. Email: ana.qa01@test.com
4. Contraseña y confirmación: Prueba123
5. Clic en 'Crear Cuenta'</t>
  </si>
  <si>
    <t>Se muestra 'Cuenta creada exitosamente!', el usuario queda autenticado y su nombre aparece en el encabezado. Se crea el registro en Users con rol Client.</t>
  </si>
  <si>
    <t>Alta</t>
  </si>
  <si>
    <t>Automated</t>
  </si>
  <si>
    <t>Untested</t>
  </si>
  <si>
    <t>HU-01. Script: tests/e2e/specs/01-autenticacion.spec.ts</t>
  </si>
  <si>
    <t>TC-002</t>
  </si>
  <si>
    <t>Verificar que no se permite registrar un email ya existente</t>
  </si>
  <si>
    <t>Existe el usuario admin@techstore.com.</t>
  </si>
  <si>
    <t>1. Ingresar a &lt;URL_QA&gt;/register
2. Completar datos válidos usando el email admin@techstore.com
3. Clic en 'Crear Cuenta'</t>
  </si>
  <si>
    <t>Se muestra 'El email ya está registrado' y no se crea un usuario nuevo.</t>
  </si>
  <si>
    <t>TC-003</t>
  </si>
  <si>
    <t>Verificar el valor límite de longitud mínima de contraseña (7 caracteres)</t>
  </si>
  <si>
    <t>Ninguna.</t>
  </si>
  <si>
    <t>1. Ingresar a &lt;URL_QA&gt;/register
2. Completar datos válidos con contraseña 'Prueba1' (7 caracteres)
3. Clic en 'Crear Cuenta'</t>
  </si>
  <si>
    <t>Se muestra 'La contraseña debe tener al menos 8 caracteres' y no se crea la cuenta.</t>
  </si>
  <si>
    <t>Media</t>
  </si>
  <si>
    <t>TC-004</t>
  </si>
  <si>
    <t>Verificar que la confirmación de contraseña debe coincidir</t>
  </si>
  <si>
    <t>1. Ingresar a &lt;URL_QA&gt;/register
2. Contraseña: Prueba123 / Confirmación: Prueba124
3. Clic en 'Crear Cuenta'</t>
  </si>
  <si>
    <t>Se muestra 'Las contraseñas no coinciden' y no se crea la cuenta.</t>
  </si>
  <si>
    <t>TC-005</t>
  </si>
  <si>
    <t>Verificar la política de complejidad (mayúscula y número)</t>
  </si>
  <si>
    <t>1. Ingresar a &lt;URL_QA&gt;/register
2. Escribir la contraseña 'pruebaqa1' y observar la lista de requisitos
3. Clic en 'Crear Cuenta'</t>
  </si>
  <si>
    <t>El requisito 'Una letra mayúscula' aparece sin cumplir; se muestra 'La contraseña debe incluir al menos una mayúscula y un número' y no se crea la cuenta.</t>
  </si>
  <si>
    <t>TC-006</t>
  </si>
  <si>
    <t>Verificar que la API también valida la política de contraseña</t>
  </si>
  <si>
    <t>1. POST /api/auth/register con password y confirmPassword = 'abcdefgh'</t>
  </si>
  <si>
    <t>HTTP 400 con el mensaje 'La contraseña debe tener al menos 8 caracteres, una mayúscula y un número'.</t>
  </si>
  <si>
    <t>TC-007</t>
  </si>
  <si>
    <t>Verificar que los campos obligatorios no pueden quedar vacíos</t>
  </si>
  <si>
    <t>1. Ingresar a &lt;URL_QA&gt;/register
2. Dejar todos los campos vacíos
3. Clic en 'Crear Cuenta'</t>
  </si>
  <si>
    <t>El formulario no se envía y señala los campos requeridos.</t>
  </si>
  <si>
    <t>Baja</t>
  </si>
  <si>
    <t>TC-008</t>
  </si>
  <si>
    <t>Verificar inicio de sesión con credenciales válidas de administrador</t>
  </si>
  <si>
    <t>Usuario administrador sembrado.</t>
  </si>
  <si>
    <t>1. Ingresar a &lt;URL_QA&gt;/login
2. Email: admin@techstore.com
3. Contraseña: Admin123!
4. Clic en 'Iniciar Sesión'</t>
  </si>
  <si>
    <t>Se muestra 'Bienvenido, Alfredo!', se redirige al inicio y el menú de usuario muestra la opción 'Admin'.</t>
  </si>
  <si>
    <t>HU-02. Script: tests/e2e/specs/01-autenticacion.spec.ts</t>
  </si>
  <si>
    <t>TC-009</t>
  </si>
  <si>
    <t>Verificar mensaje genérico con contraseña incorrecta</t>
  </si>
  <si>
    <t>1. Ingresar a &lt;URL_QA&gt;/login
2. Email: admin@techstore.com / Contraseña: Incorrecta1
3. Clic en 'Iniciar Sesión'</t>
  </si>
  <si>
    <t>Se muestra 'Email o contraseña incorrectos'; la página no se recarga y no se guarda token.</t>
  </si>
  <si>
    <t>TC-010</t>
  </si>
  <si>
    <t>Verificar mensaje genérico con email no registrado</t>
  </si>
  <si>
    <t>Email noexiste@test.com no registrado.</t>
  </si>
  <si>
    <t>1. Ingresar a &lt;URL_QA&gt;/login
2. Email: noexiste@test.com / Contraseña: Prueba123
3. Clic en 'Iniciar Sesión'</t>
  </si>
  <si>
    <t>Se muestra el mismo mensaje 'Email o contraseña incorrectos' (no revela si el email existe).</t>
  </si>
  <si>
    <t>TC-011</t>
  </si>
  <si>
    <t>Verificar cierre de sesión</t>
  </si>
  <si>
    <t>Sesión iniciada como cliente (cliente.qa@test.com / Prueba123).</t>
  </si>
  <si>
    <t>1. Abrir el menú de usuario (nombre en el encabezado)
2. Clic en 'Salir'
3. Intentar ingresar a &lt;URL_QA&gt;/cart</t>
  </si>
  <si>
    <t>Se elimina la sesión, el encabezado muestra 'Iniciar sesión' y la ruta /cart redirige a /login.</t>
  </si>
  <si>
    <t>TC-012</t>
  </si>
  <si>
    <t>Verificar que un cliente no puede acceder al panel de administración</t>
  </si>
  <si>
    <t>1. Ingresar manualmente a &lt;URL_QA&gt;/admin</t>
  </si>
  <si>
    <t>El sistema redirige al inicio; la opción 'Admin' no aparece en el menú de usuario.</t>
  </si>
  <si>
    <t>TC-013</t>
  </si>
  <si>
    <t>Verificar que el token JWT expira a las 24 horas</t>
  </si>
  <si>
    <t>Inicio de sesión exitoso.</t>
  </si>
  <si>
    <t>1. Abrir DevTools &gt; Application &gt; Local Storage y copiar el valor 'token'
2. Decodificarlo en jwt.io
3. Calcular exp − iat</t>
  </si>
  <si>
    <t>La diferencia es 86 400 segundos (24 horas).</t>
  </si>
  <si>
    <t>Usuarios</t>
  </si>
  <si>
    <t>TC-014</t>
  </si>
  <si>
    <t>Verificar que el cliente puede editar nombre, apellido y teléfono</t>
  </si>
  <si>
    <t>1. Menú de usuario &gt; 'Mi perfil' &gt; 'Datos personales'
2. Cambiar teléfono a 8888-0000 y el nombre a 'Carlos'
3. Clic en 'Guardar'
4. Recargar la página</t>
  </si>
  <si>
    <t>Se muestra 'Perfil actualizado'; los cambios persisten y el encabezado saluda 'Hola, Carlos'.</t>
  </si>
  <si>
    <t>HU-03. Script: tests/e2e/specs/02-perfil.spec.ts</t>
  </si>
  <si>
    <t>TC-015</t>
  </si>
  <si>
    <t>Verificar que el email no es editable</t>
  </si>
  <si>
    <t>1. Ingresar a 'Mi perfil' &gt; 'Datos personales'
2. Intentar modificar el campo Email</t>
  </si>
  <si>
    <t>El campo Email está deshabilitado con la nota 'El email es tu identificador y no se puede cambiar'.</t>
  </si>
  <si>
    <t>TC-016</t>
  </si>
  <si>
    <t>Verificar que el cliente puede agregar una dirección de envío</t>
  </si>
  <si>
    <t>Cliente sin direcciones guardadas.</t>
  </si>
  <si>
    <t>1. 'Mi perfil' &gt; 'Direcciones' &gt; 'Agregar dirección'
2. Nombre: Casa; Dirección: 100 m norte del parque; Provincia: Heredia; Cantón: Belén; Código postal: 40701
3. Clic en 'Guardar'</t>
  </si>
  <si>
    <t>Se muestra 'Dirección guardada' y la dirección aparece marcada como 'Principal' (primera dirección).</t>
  </si>
  <si>
    <t>TC-017</t>
  </si>
  <si>
    <t>Verificar edición y eliminación de una dirección</t>
  </si>
  <si>
    <t>Cliente con dos direcciones guardadas.</t>
  </si>
  <si>
    <t>1. Editar la segunda dirección y marcar 'Usar como dirección principal'
2. Guardar
3. Eliminar la dirección que era principal</t>
  </si>
  <si>
    <t>La dirección editada pasa a ser 'Principal'; al eliminar la otra se muestra 'Dirección eliminada' y desaparece del listado.</t>
  </si>
  <si>
    <t>TC-018</t>
  </si>
  <si>
    <t>Verificar cambio de contraseña</t>
  </si>
  <si>
    <t>1. 'Mi perfil' &gt; 'Seguridad'
2. Contraseña actual: Prueba123; nueva y confirmación: Nueva1234
3. Clic en 'Actualizar contraseña'
4. Cerrar sesión e iniciar con la nueva contraseña</t>
  </si>
  <si>
    <t>Se muestra 'Contraseña actualizada' y el inicio de sesión funciona con Nueva1234 (con la anterior falla).</t>
  </si>
  <si>
    <t>TC-019</t>
  </si>
  <si>
    <t>Verificar rechazo del cambio con contraseña actual incorrecta</t>
  </si>
  <si>
    <t>1. 'Mi perfil' &gt; 'Seguridad'
2. Contraseña actual: Incorrecta1; nueva: Nueva1234
3. Clic en 'Actualizar contraseña'</t>
  </si>
  <si>
    <t>Se muestra 'La contraseña actual es incorrecta' y la contraseña no cambia.</t>
  </si>
  <si>
    <t>Catálogo</t>
  </si>
  <si>
    <t>TC-020</t>
  </si>
  <si>
    <t>Verificar que el catálogo muestra los productos en tarjetas</t>
  </si>
  <si>
    <t>Datos semilla cargados (71 productos activos). Sin sesión iniciada.</t>
  </si>
  <si>
    <t>1. Ingresar a &lt;URL_QA&gt;/catalog</t>
  </si>
  <si>
    <t>Se muestran 12 tarjetas con marca, nombre, precio en colones e indicador de stock, y el texto '71 productos encontrados'. No se requiere iniciar sesión.</t>
  </si>
  <si>
    <t>HU-04. Script: tests/e2e/specs/03-catalogo.spec.ts</t>
  </si>
  <si>
    <t>TC-021</t>
  </si>
  <si>
    <t>Verificar paginación de 12 productos por página</t>
  </si>
  <si>
    <t>Datos semilla cargados.</t>
  </si>
  <si>
    <t>1. Ingresar a &lt;URL_QA&gt;/catalog
2. Observar el indicador de página
3. Clic en 'Siguiente' hasta la última página</t>
  </si>
  <si>
    <t>Se muestra 'Página 1 de 6'; 'Anterior' está deshabilitado en la página 1 y 'Siguiente' en la página 6, que muestra 11 productos.</t>
  </si>
  <si>
    <t>TC-022</t>
  </si>
  <si>
    <t>Verificar que un producto sin stock se marca como 'Agotado'</t>
  </si>
  <si>
    <t>Producto 'AMD Ryzen 7 7800X3D' con stock 0 (dato semilla).</t>
  </si>
  <si>
    <t>1. Ingresar a &lt;URL_QA&gt;/catalog
2. Buscar 'AMD Ryzen 7 7800X3D'</t>
  </si>
  <si>
    <t>La tarjeta muestra la etiqueta 'Agotado' y el botón 'Agotado' deshabilitado.</t>
  </si>
  <si>
    <t>TC-023</t>
  </si>
  <si>
    <t>Verificar precio con descuento en la tarjeta</t>
  </si>
  <si>
    <t>Regla '10 % en Periféricos' activa.</t>
  </si>
  <si>
    <t>1. Ingresar a &lt;URL_QA&gt;/catalog
2. Ubicar 'Logitech MX Master 3S'</t>
  </si>
  <si>
    <t>La tarjeta muestra el badge '-10%', el precio ₡53 910 y el precio original ₡59 900 tachado.</t>
  </si>
  <si>
    <t>TC-024</t>
  </si>
  <si>
    <t>Verificar que un producto desactivado no aparece en el catálogo</t>
  </si>
  <si>
    <t>Producto 'HP 15 fd0000' desactivado desde el panel admin.</t>
  </si>
  <si>
    <t>1. Ingresar a &lt;URL_QA&gt;/catalog
2. Buscar 'HP 15'</t>
  </si>
  <si>
    <t>El producto no se muestra en el catálogo.</t>
  </si>
  <si>
    <t>TC-025</t>
  </si>
  <si>
    <t>Verificar búsqueda desde la barra del encabezado</t>
  </si>
  <si>
    <t>1. Escribir 'MacBook' en 'Buscar productos...' del encabezado
2. Clic en 'Buscar'</t>
  </si>
  <si>
    <t>Se abre el catálogo con el título 'Resultados para "MacBook"' y solo 'Apple MacBook Air 13 M2' y 'Apple MacBook Pro 14 M3' (2 productos).</t>
  </si>
  <si>
    <t>HU-05. Script: tests/e2e/specs/03-catalogo.spec.ts</t>
  </si>
  <si>
    <t>TC-026</t>
  </si>
  <si>
    <t>Verificar que la búsqueda no distingue mayúsculas</t>
  </si>
  <si>
    <t>1. Buscar 'IPHONE'</t>
  </si>
  <si>
    <t>Se muestran 'Apple iPhone 15 128GB' y 'Apple iPhone 15 Pro Max 256GB'.</t>
  </si>
  <si>
    <t>TC-027</t>
  </si>
  <si>
    <t>Verificar búsqueda por descripción</t>
  </si>
  <si>
    <t>1. Buscar 'mouse'</t>
  </si>
  <si>
    <t>Se muestran 5 productos: MX Master 3S, G502 HERO, G Pro X Superlight 2, DeathAdder V3 y MK270 Combo Inalámbrico.</t>
  </si>
  <si>
    <t>TC-028</t>
  </si>
  <si>
    <t>Verificar mensaje cuando no hay resultados</t>
  </si>
  <si>
    <t>1. Buscar 'zzzzzz'</t>
  </si>
  <si>
    <t>Se muestra 'No se encontraron productos' con la sugerencia de cambiar la búsqueda o los filtros.</t>
  </si>
  <si>
    <t>TC-029</t>
  </si>
  <si>
    <t>Verificar filtro por categoría</t>
  </si>
  <si>
    <t>1. Ingresar a &lt;URL_QA&gt;/catalog
2. Marcar 'Periféricos' en el panel de filtros</t>
  </si>
  <si>
    <t>Se muestran 10 productos y '10 productos encontrados'.</t>
  </si>
  <si>
    <t>HU-06. Script: tests/e2e/specs/03-catalogo.spec.ts</t>
  </si>
  <si>
    <t>TC-030</t>
  </si>
  <si>
    <t>Verificar filtro por varias categorías a la vez</t>
  </si>
  <si>
    <t>1. Marcar 'Tablets' y 'Smartwatches'</t>
  </si>
  <si>
    <t>Se muestran 8 productos (4 tablets y 4 smartwatches) y dos chips de filtro activos.</t>
  </si>
  <si>
    <t>TC-031</t>
  </si>
  <si>
    <t>Verificar filtro por marca</t>
  </si>
  <si>
    <t>1. Marcar la marca 'Logitech'</t>
  </si>
  <si>
    <t>Se muestran 6 productos, todos de la marca Logitech.</t>
  </si>
  <si>
    <t>TC-032</t>
  </si>
  <si>
    <t>Verificar filtro por rango de precio (valores límite)</t>
  </si>
  <si>
    <t>1. Precio mínimo: 100000; máximo: 150000
2. Clic en 'Aplicar precio'</t>
  </si>
  <si>
    <t>Se muestran 9 productos con precio entre ₡100 000 y ₡150 000, incluidos los de exactamente ₡149 900 y ₡109 900.</t>
  </si>
  <si>
    <t>TC-033</t>
  </si>
  <si>
    <t>Verificar filtro de disponibilidad y combinación de filtros</t>
  </si>
  <si>
    <t>1. Marcar 'Componentes'
2. Marcar 'Solo productos en stock'</t>
  </si>
  <si>
    <t>Ya no se muestra 'AMD Ryzen 7 7800X3D' (stock 0); los demás componentes siguen visibles.</t>
  </si>
  <si>
    <t>TC-034</t>
  </si>
  <si>
    <t>Verificar ordenamiento por precio</t>
  </si>
  <si>
    <t>1. Marcar 'Laptops'
2. Ordenar por 'Precio: menor a mayor'</t>
  </si>
  <si>
    <t>La primera laptop es 'HP 15 fd0000' (₡259 900) y la última 'ASUS ROG Strix G16' (₡1 099 900).</t>
  </si>
  <si>
    <t>TC-035</t>
  </si>
  <si>
    <t>Verificar que 'Limpiar todos los filtros' restablece el listado</t>
  </si>
  <si>
    <t>Filtros de categoría, marca y precio aplicados.</t>
  </si>
  <si>
    <t>1. Clic en 'Limpiar todos los filtros'</t>
  </si>
  <si>
    <t>Se vuelven a mostrar los 71 productos y desaparecen los chips de filtro.</t>
  </si>
  <si>
    <t>TC-036</t>
  </si>
  <si>
    <t>Verificar la información completa del detalle de producto</t>
  </si>
  <si>
    <t>1. Ingresar a &lt;URL_QA&gt;/catalog
2. Clic en 'ASUS ROG Strix G16'</t>
  </si>
  <si>
    <t>Se muestran marca ASUS, categoría Laptops, descripción, tabla de especificaciones (procesador, RAM, gráficos…), stock disponible y precio.</t>
  </si>
  <si>
    <t>HU-07. Script: tests/e2e/specs/03-catalogo.spec.ts</t>
  </si>
  <si>
    <t>TC-037</t>
  </si>
  <si>
    <t>Verificar precio original tachado y ahorro cuando hay descuento</t>
  </si>
  <si>
    <t>Regla 'Temporada de Laptops' vigente.</t>
  </si>
  <si>
    <t>1. Abrir el detalle de 'Lenovo IdeaPad Slim 3 15'</t>
  </si>
  <si>
    <t>Se muestra ₡269 910, el precio original ₡299 900 tachado y 'Ahorras ₡29 990 (10%)'.</t>
  </si>
  <si>
    <t>TC-038</t>
  </si>
  <si>
    <t>Verificar que sin sesión el botón 'Agregar al carrito' redirige al login</t>
  </si>
  <si>
    <t>Sin sesión iniciada.</t>
  </si>
  <si>
    <t>1. Abrir el detalle de 'Logitech MX Master 3S'
2. Clic en 'Agregar al carrito'</t>
  </si>
  <si>
    <t>Se redirige a /login y no se agrega nada al carrito.</t>
  </si>
  <si>
    <t>TC-039</t>
  </si>
  <si>
    <t>Verificar que el botón está deshabilitado para productos agotados</t>
  </si>
  <si>
    <t>'AMD Ryzen 7 7800X3D' con stock 0.</t>
  </si>
  <si>
    <t>1. Abrir el detalle de 'AMD Ryzen 7 7800X3D'</t>
  </si>
  <si>
    <t>Se muestra 'Agotado' y el botón 'Agregar al carrito' está deshabilitado.</t>
  </si>
  <si>
    <t>TC-040</t>
  </si>
  <si>
    <t>Verificar comportamiento con un producto inexistente</t>
  </si>
  <si>
    <t>1. Ingresar a &lt;URL_QA&gt;/products/00000000-0000-0000-0000-000000000001</t>
  </si>
  <si>
    <t>Se muestra 'Producto no encontrado' y se redirige al catálogo.</t>
  </si>
  <si>
    <t>Carrito</t>
  </si>
  <si>
    <t>TC-041</t>
  </si>
  <si>
    <t>Verificar que el cliente agrega un producto nuevo al carrito (regresión error 500)</t>
  </si>
  <si>
    <t>Sesión iniciada como cliente (cliente.qa@test.com / Prueba123).
Carrito vacío.</t>
  </si>
  <si>
    <t>1. Abrir el detalle de 'Logitech MX Master 3S'
2. Clic en 'Agregar al carrito'
3. Abrir el carrito (ícono del encabezado)</t>
  </si>
  <si>
    <t>Se muestra 'Producto agregado al carrito', el contador del ícono muestra 1 y el carrito contiene 1 unidad. No ocurre error HTTP 500.</t>
  </si>
  <si>
    <t>HU-08. Regresión del defecto corregido en Sprint 3. Script: tests/e2e/specs/04-carrito.spec.ts</t>
  </si>
  <si>
    <t>TC-042</t>
  </si>
  <si>
    <t>Verificar que agregar el mismo producto incrementa la cantidad</t>
  </si>
  <si>
    <t>Carrito con 1 × Logitech MX Master 3S.</t>
  </si>
  <si>
    <t>1. En el catálogo, clic en 'Agregar al carrito' de 'Logitech MX Master 3S'
2. Abrir 'Mi Carrito'</t>
  </si>
  <si>
    <t>El carrito tiene una sola línea del producto con cantidad 2 (no se duplica la línea).</t>
  </si>
  <si>
    <t>HU-08. Script: tests/e2e/specs/04-carrito.spec.ts</t>
  </si>
  <si>
    <t>TC-043</t>
  </si>
  <si>
    <t>Verificar agregar varias unidades desde el detalle</t>
  </si>
  <si>
    <t>1. Abrir el detalle de 'Kingston NV2 1TB NVMe'
2. Aumentar la cantidad a 3 con el botón '+'
3. Clic en 'Agregar al carrito'</t>
  </si>
  <si>
    <t>El carrito contiene 3 unidades del producto.</t>
  </si>
  <si>
    <t>TC-044</t>
  </si>
  <si>
    <t>Verificar que no se puede superar el stock disponible (valor límite)</t>
  </si>
  <si>
    <t>Producto 'Samsung 990 Pro 1TB NVMe' con stock 1 (editar desde admin). Carrito vacío.</t>
  </si>
  <si>
    <t>1. Agregar el producto al carrito desde el catálogo
2. Agregar el mismo producto otra vez</t>
  </si>
  <si>
    <t>La primera vez se agrega; la segunda se muestra 'Stock insuficiente. Disponible: 1' y la cantidad sigue en 1.</t>
  </si>
  <si>
    <t>TC-045</t>
  </si>
  <si>
    <t>Verificar que la API rechaza cantidad 0</t>
  </si>
  <si>
    <t>Token JWT de cliente.</t>
  </si>
  <si>
    <t>1. POST /api/cart/items con {"productId": "{id}", "quantity": 0}</t>
  </si>
  <si>
    <t>HTTP 400 con mensaje 'La cantidad debe ser mayor a 0'.</t>
  </si>
  <si>
    <t>TC-046</t>
  </si>
  <si>
    <t>Verificar que la API del carrito exige autenticación</t>
  </si>
  <si>
    <t>1. POST /api/cart/items sin encabezado Authorization</t>
  </si>
  <si>
    <t>HTTP 401 Unauthorized.</t>
  </si>
  <si>
    <t>TC-047</t>
  </si>
  <si>
    <t>Verificar la información mostrada en el carrito</t>
  </si>
  <si>
    <t>Carrito con 1 × Kingston NV2 1TB NVMe.</t>
  </si>
  <si>
    <t>1. Abrir 'Mi Carrito'</t>
  </si>
  <si>
    <t>Se muestran imagen, marca, nombre, precio unitario ₡34 900, cantidad 1, subtotal de línea, subtotal y total ₡34 900.</t>
  </si>
  <si>
    <t>HU-09. Script: tests/e2e/specs/04-carrito.spec.ts</t>
  </si>
  <si>
    <t>TC-048</t>
  </si>
  <si>
    <t>Verificar modificación de cantidad y recálculo</t>
  </si>
  <si>
    <t>1. Abrir 'Mi Carrito'
2. Clic en '+' para pasar a 2 unidades</t>
  </si>
  <si>
    <t>El subtotal de línea y el total se actualizan a ₡69 800.</t>
  </si>
  <si>
    <t>TC-049</t>
  </si>
  <si>
    <t>Verificar que la cantidad no puede superar el stock desde el carrito</t>
  </si>
  <si>
    <t>'Samsung 990 Pro 1TB NVMe' con stock 2 y 2 unidades en el carrito.</t>
  </si>
  <si>
    <t>1. Abrir 'Mi Carrito'
2. Intentar aumentar la cantidad</t>
  </si>
  <si>
    <t>El botón '+' está deshabilitado y se muestra 'Alcanzaste el stock disponible (2)'.</t>
  </si>
  <si>
    <t>TC-050</t>
  </si>
  <si>
    <t>Verificar eliminación de un producto</t>
  </si>
  <si>
    <t>1. Abrir 'Mi Carrito'
2. Clic en 'Eliminar'</t>
  </si>
  <si>
    <t>Se muestra 'Producto eliminado del carrito' y luego 'Tu carrito está vacío'.</t>
  </si>
  <si>
    <t>TC-051</t>
  </si>
  <si>
    <t>Verificar que el carrito persiste entre sesiones</t>
  </si>
  <si>
    <t>Carrito con 1 × Razer BlackWidow V4.</t>
  </si>
  <si>
    <t>1. Cerrar sesión
2. Iniciar sesión nuevamente con cliente.qa@test.com / Prueba123
3. Abrir 'Mi Carrito'</t>
  </si>
  <si>
    <t>El carrito conserva 1 × Razer BlackWidow V4 y el contador del encabezado muestra 1.</t>
  </si>
  <si>
    <t>Motor de precios</t>
  </si>
  <si>
    <t>TC-052</t>
  </si>
  <si>
    <t>Verificar desglose del descuento automático por categoría</t>
  </si>
  <si>
    <t>Sesión iniciada como cliente (cliente.qa@test.com / Prueba123).
Carrito vacío.
Regla '10 % en Periféricos' activa.</t>
  </si>
  <si>
    <t>1. Agregar 1 × Logitech MX Master 3S (₡59 900)
2. Abrir 'Mi Carrito'</t>
  </si>
  <si>
    <t>En 'Descuentos aplicados' se lista el 10 % en categoría por -₡5 990. Subtotal ₡59 900, total ₡53 910.</t>
  </si>
  <si>
    <t>HU-10. Script: tests/e2e/specs/05-motor-precios.spec.ts</t>
  </si>
  <si>
    <t>TC-053</t>
  </si>
  <si>
    <t>Verificar recálculo al cambiar cantidades (descuentos acumulables)</t>
  </si>
  <si>
    <t>Carrito con 1 × Logitech MX Master 3S. Reglas semilla activas.</t>
  </si>
  <si>
    <t>1. Abrir 'Mi Carrito'
2. Aumentar la cantidad a 3</t>
  </si>
  <si>
    <t>Subtotal ₡179 700. Se listan categoría -₡17 970 y volumen (3+ unidades) -₡26 955. 'Total descuento' -₡44 925 (igual a la suma del desglose) y total ₡134 775.</t>
  </si>
  <si>
    <t>TC-054</t>
  </si>
  <si>
    <t>Verificar que el descuento desaparece al quitar el producto que lo origina</t>
  </si>
  <si>
    <t>Carrito con 1 × Logitech MX Master 3S y 1 × Kingston NV2 1TB NVMe.</t>
  </si>
  <si>
    <t>1. Abrir 'Mi Carrito'
2. Eliminar Logitech MX Master 3S</t>
  </si>
  <si>
    <t>Ya no se muestra el descuento por categoría; total ₡34 900.</t>
  </si>
  <si>
    <t>TC-055</t>
  </si>
  <si>
    <t>Verificar aplicación del cupón TECH20 (no acumulable, prioridad 1)</t>
  </si>
  <si>
    <t>Sesión iniciada como cliente (cliente.qa@test.com / Prueba123).
Carrito vacío.
Cupón TECH20 activo con usos disponibles.</t>
  </si>
  <si>
    <t>1. Agregar 1 × Logitech MX Master 3S y 1 × Razer BlackWidow V4 (subtotal ₡159 800)
2. En 'Mi Carrito' escribir TECH20
3. Clic en 'Aplicar'</t>
  </si>
  <si>
    <t>Se muestra 'Cupón aplicado!'. Solo se lista el cupón TECH20 por -₡31 960 (reemplaza el 10 % por categoría). Total ₡127 840.</t>
  </si>
  <si>
    <t>HU-11. Script: tests/e2e/specs/05-motor-precios.spec.ts</t>
  </si>
  <si>
    <t>TC-056</t>
  </si>
  <si>
    <t>Verificar que el código de cupón no distingue mayúsculas</t>
  </si>
  <si>
    <t>Carrito con 1 × Logitech MX Master 3S y 1 × Razer BlackWidow V4.</t>
  </si>
  <si>
    <t>1. Escribir 'tech20' en el campo de cupón
2. Clic en 'Aplicar'</t>
  </si>
  <si>
    <t>El cupón se aplica igual que TECH20 (descuento -₡31 960).</t>
  </si>
  <si>
    <t>TC-057</t>
  </si>
  <si>
    <t>Verificar rechazo de un cupón inexistente</t>
  </si>
  <si>
    <t>Carrito con al menos un producto.</t>
  </si>
  <si>
    <t>1. Escribir 'NOEXISTE' en el campo de cupón
2. Clic en 'Aplicar'</t>
  </si>
  <si>
    <t>Se muestra 'Cupón inválido o expirado' y el total no cambia.</t>
  </si>
  <si>
    <t>TC-058</t>
  </si>
  <si>
    <t>Verificar rechazo de un cupón vencido</t>
  </si>
  <si>
    <t>Admin creó el cupón VENCIDO10 (10 %, prioridad 11) con fechas de hace un mes a ayer.</t>
  </si>
  <si>
    <t>1. Escribir 'VENCIDO10' en el campo de cupón
2. Clic en 'Aplicar'</t>
  </si>
  <si>
    <t>Se muestra 'Este cupón ha expirado' y no se aplica descuento.</t>
  </si>
  <si>
    <t>TC-059</t>
  </si>
  <si>
    <t>Verificar rechazo de un cupón que alcanzó su máximo de usos</t>
  </si>
  <si>
    <t>Admin creó el cupón UNICO5 (5 %, prioridad 12, máximo de usos 1), ya utilizado en un pedido confirmado.</t>
  </si>
  <si>
    <t>1. Con otro cliente, escribir 'UNICO5'
2. Clic en 'Aplicar'</t>
  </si>
  <si>
    <t>Se muestra 'Este cupón ya alcanzó su límite de usos' y no se aplica descuento.</t>
  </si>
  <si>
    <t>TC-060</t>
  </si>
  <si>
    <t>Verificar condición de monto mínimo del cupón (valor límite)</t>
  </si>
  <si>
    <t>Carrito con 1 × Kingston NV2 1TB NVMe (₡34 900, menor al mínimo de ₡50 000).</t>
  </si>
  <si>
    <t>1. Aplicar el cupón TECH20</t>
  </si>
  <si>
    <t>El cupón queda registrado pero no genera descuento; el total permanece en ₡34 900.</t>
  </si>
  <si>
    <t>TC-061</t>
  </si>
  <si>
    <t>Verificar que se puede remover el cupón</t>
  </si>
  <si>
    <t>Cupón TECH20 aplicado sobre Logitech MX Master 3S + Razer BlackWidow V4.</t>
  </si>
  <si>
    <t>1. Clic en la 'X' junto al cupón</t>
  </si>
  <si>
    <t>Se muestra 'Cupón removido'; vuelve a aplicarse el 10 % por categoría (-₡15 980); total ₡143 820.</t>
  </si>
  <si>
    <t>TC-062</t>
  </si>
  <si>
    <t>Verificar que el uso del cupón se contabiliza al confirmar el pedido</t>
  </si>
  <si>
    <t>Anotar la columna 'Usos' de TECH20 en el panel de reglas.</t>
  </si>
  <si>
    <t>1. Aplicar TECH20 en un carrito válido
2. Completar el checkout
3. Revisar la regla TECH20 en el panel admin</t>
  </si>
  <si>
    <t>La columna 'Usos' de TECH20 aumenta en 1 (formato usos / máximo, p. ej. 1 / 50).</t>
  </si>
  <si>
    <t>TC-063</t>
  </si>
  <si>
    <t>Verificar descuento por volumen al alcanzar 3 unidades</t>
  </si>
  <si>
    <t>1. Agregar Kingston Fury Beast 32GB DDR5
2. En 'Mi Carrito' aumentar la cantidad a 3</t>
  </si>
  <si>
    <t>Subtotal ₡194 700. Se lista 'Descuento por volumen (3+ unidades): 15% off' por -₡29 205. Total ₡165 495.</t>
  </si>
  <si>
    <t>HU-12. Script: tests/e2e/specs/05-motor-precios.spec.ts</t>
  </si>
  <si>
    <t>TC-064</t>
  </si>
  <si>
    <t>Verificar que con 2 unidades no aplica el descuento (valor límite)</t>
  </si>
  <si>
    <t>1. Agregar 2 × Kingston Fury Beast 32GB DDR5</t>
  </si>
  <si>
    <t>No se lista descuento por volumen. Total ₡129 800.</t>
  </si>
  <si>
    <t>TC-065</t>
  </si>
  <si>
    <t>Verificar que el descuento se retira al bajar de 3 a 2 unidades</t>
  </si>
  <si>
    <t>Carrito con 3 × Kingston Fury Beast 32GB DDR5 (descuento por volumen aplicado).</t>
  </si>
  <si>
    <t>1. Clic en '−' para pasar a 2 unidades</t>
  </si>
  <si>
    <t>Desaparece el descuento por volumen y el total pasa a ₡129 800.</t>
  </si>
  <si>
    <t>TC-066</t>
  </si>
  <si>
    <t>Verificar reglas de volumen en pruebas unitarias del motor</t>
  </si>
  <si>
    <t>Código fuente y .NET 8 SDK.</t>
  </si>
  <si>
    <t>1. Ejecutar dotnet test en la raíz de la solución
2. Revisar DescuentoPorVolumen_*</t>
  </si>
  <si>
    <t>Las pruebas DescuentoPorVolumen_AplicaAlAlcanzarLaCantidadMinima y _NoAplicaConCantidadInsuficiente se aprueban.</t>
  </si>
  <si>
    <t>TC-067</t>
  </si>
  <si>
    <t>Verificar badge 'OFERTA' y contador regresivo en el catálogo</t>
  </si>
  <si>
    <t>Regla 'Oferta Relámpago' vigente (21 días desde la carga de datos).</t>
  </si>
  <si>
    <t>1. Ingresar a &lt;URL_QA&gt;/catalog
2. Ubicar 'JBL Flip 6'</t>
  </si>
  <si>
    <t>La tarjeta muestra el badge 'OFERTA', el badge '-15%', un contador (días y hh:mm:ss) que avanza cada segundo y el precio ₡59 415 con ₡69 900 tachado.</t>
  </si>
  <si>
    <t>HU-13. Script: tests/e2e/specs/05-motor-precios.spec.ts</t>
  </si>
  <si>
    <t>TC-068</t>
  </si>
  <si>
    <t>Verificar contador regresivo en el detalle del producto</t>
  </si>
  <si>
    <t>Regla 'Oferta Relámpago' vigente.</t>
  </si>
  <si>
    <t>1. Abrir el detalle de 'JBL Flip 6'</t>
  </si>
  <si>
    <t>Se muestra el recuadro 'Oferta Relámpago · termina en:' con bloques de días, horas, minutos y segundos que disminuyen.</t>
  </si>
  <si>
    <t>TC-069</t>
  </si>
  <si>
    <t>Verificar oferta temporal vigente en la categoría Laptops dentro del carrito</t>
  </si>
  <si>
    <t>Sesión iniciada como cliente (cliente.qa@test.com / Prueba123).
Carrito vacío.
Regla 'Temporada de Laptops' vigente (45 días desde la carga de datos).</t>
  </si>
  <si>
    <t>1. Agregar 1 × Apple MacBook Air 13 M2 (₡599 900)
2. Abrir 'Mi Carrito'</t>
  </si>
  <si>
    <t>Se listan '₡25 000 en compras desde ₡300 000' por -₡25 000 y 'Oferta limitada: Temporada de Laptops' por -₡59 990. Total ₡514 910.</t>
  </si>
  <si>
    <t>TC-070</t>
  </si>
  <si>
    <t>Verificar que la oferta de Laptops no aplica a otras categorías</t>
  </si>
  <si>
    <t>1. Agregar 1 × Samsung Galaxy S24 Ultra 256GB (₡699 900)
2. Abrir 'Mi Carrito'</t>
  </si>
  <si>
    <t>Solo se lista el descuento fijo de -₡25 000. No aparece 'Oferta limitada'. Total ₡674 900.</t>
  </si>
  <si>
    <t>TC-071</t>
  </si>
  <si>
    <t>Verificar que una oferta vencida deja de aplicar</t>
  </si>
  <si>
    <t>Admin editó 'Temporada de Laptops' con fecha fin = ayer.</t>
  </si>
  <si>
    <t>1. Agregar 1 × Apple MacBook Air 13 M2
2. Abrir 'Mi Carrito'
3. Revisar la tarjeta del producto en el catálogo</t>
  </si>
  <si>
    <t>No aparece 'Oferta limitada' (solo -₡25 000; total ₡574 900) y la tarjeta ya no muestra el badge 'OFERTA'.</t>
  </si>
  <si>
    <t>Administración - Reglas</t>
  </si>
  <si>
    <t>TC-072</t>
  </si>
  <si>
    <t>Verificar creación de una regla porcentual acumulable</t>
  </si>
  <si>
    <t>Sesión iniciada como administrador (admin@techstore.com / Admin123!).</t>
  </si>
  <si>
    <t>1. Ir a Admin &gt; Reglas de descuento &gt; '+ Nueva Regla'
2. Nombre: QA 5% General; Tipo: Porcentaje; Valor: 5; Prioridad: 20; Acumulable: Sí
3. Clic en 'Crear Regla'
4. Con el cliente, agregar 1 × Kingston NV2 1TB NVMe</t>
  </si>
  <si>
    <t>Se muestra 'Regla creada' y aparece en el listado. En el carrito se lista 'QA 5% General' por -₡1 745; total ₡33 155.</t>
  </si>
  <si>
    <t>HU-14. Script: tests/e2e/specs/06-admin-reglas.spec.ts</t>
  </si>
  <si>
    <t>TC-073</t>
  </si>
  <si>
    <t>Verificar creación de un cupón y su uso</t>
  </si>
  <si>
    <t>Sesión iniciada como administrador (admin@techstore.com / Admin123!).
Regla 'QA 5% General' desactivada.</t>
  </si>
  <si>
    <t>1. Crear regla Tipo Cupón: código QA15, valor 15 %, monto mínimo 20000, prioridad 21, no acumulable
2. Con el cliente, agregar 1 × Kingston NV2 1TB NVMe y aplicar QA15</t>
  </si>
  <si>
    <t>El cupón se aplica: descuento -₡5 235, total ₡29 665.</t>
  </si>
  <si>
    <t>TC-074</t>
  </si>
  <si>
    <t>Verificar regla por categoría seleccionando la categoría en el formulario</t>
  </si>
  <si>
    <t>Sesión iniciada como administrador (admin@techstore.com / Admin123!).
Regla 'QA 5% General' desactivada y carrito del cliente sin cupón.</t>
  </si>
  <si>
    <t>1. '+ Nueva Regla': Nombre QA 10% Almacenamiento; Tipo: Por categoría; Valor 10; Prioridad 22
2. Seleccionar la categoría 'Almacenamiento'
3. Crear
4. Con el cliente, agregar 1 × Kingston NV2 1TB NVMe y 1 × Logitech MX Master 3S</t>
  </si>
  <si>
    <t>La regla nueva solo descuenta -₡3 490 sobre el Kingston NV2 1TB NVMe; el Logitech MX Master 3S mantiene su 10 % de Periféricos (-₡5 990).</t>
  </si>
  <si>
    <t>TC-075</t>
  </si>
  <si>
    <t>Verificar que no se permiten dos reglas activas con la misma prioridad</t>
  </si>
  <si>
    <t>1. '+ Nueva Regla' con prioridad 1 (la usa TECH20)
2. Clic en 'Crear Regla'</t>
  </si>
  <si>
    <t>Se muestra 'La prioridad 1 ya la usa la regla activa "Cupón TECH20". Elige otra prioridad.' y no se crea la regla. Al abrir el formulario, la prioridad sugerida es la primera libre.</t>
  </si>
  <si>
    <t>TC-076</t>
  </si>
  <si>
    <t>Verificar que no se permiten cupones con código duplicado</t>
  </si>
  <si>
    <t>Existe el cupón TECH20.</t>
  </si>
  <si>
    <t>1. Crear otra regla Tipo Cupón con código TECH20 y prioridad libre
2. Clic en 'Crear Regla'</t>
  </si>
  <si>
    <t>Se muestra 'Ya existe un cupón con el código TECH20' y no se crea la regla.</t>
  </si>
  <si>
    <t>TC-077</t>
  </si>
  <si>
    <t>Verificar validación de valores (porcentaje mayor a 100 y fechas)</t>
  </si>
  <si>
    <t>1. Crear regla Porcentaje con valor 150
2. Corregir a 10 y poner fecha fin anterior a la de inicio</t>
  </si>
  <si>
    <t>Se muestran 'Un descuento porcentual no puede ser mayor a 100 %' y luego 'La fecha de fin debe ser posterior a la fecha de inicio'; no se crea la regla.</t>
  </si>
  <si>
    <t>TC-078</t>
  </si>
  <si>
    <t>Verificar que un cliente no puede crear reglas</t>
  </si>
  <si>
    <t>1. POST /api/pricing-rules con un cuerpo válido usando el token de cliente</t>
  </si>
  <si>
    <t>HTTP 403 Forbidden; la regla no se crea.</t>
  </si>
  <si>
    <t>TC-079</t>
  </si>
  <si>
    <t>Verificar el listado de reglas</t>
  </si>
  <si>
    <t>1. Ir a Admin &gt; Reglas de descuento</t>
  </si>
  <si>
    <t>Se listan las 7 reglas semilla ordenadas por prioridad con nombre, alcance, tipo, valor, vigencia, usos y estado.</t>
  </si>
  <si>
    <t>HU-15. Script: tests/e2e/specs/06-admin-reglas.spec.ts</t>
  </si>
  <si>
    <t>TC-080</t>
  </si>
  <si>
    <t>Verificar filtros del listado por tipo y estado</t>
  </si>
  <si>
    <t>1. Filtrar por Tipo = Oferta temporal
2. Luego filtrar por Estado = Inactivas</t>
  </si>
  <si>
    <t>Primero se muestran 'Temporada de Laptops' y 'Oferta Relámpago'; con el filtro de inactivas se muestran solo las reglas desactivadas.</t>
  </si>
  <si>
    <t>TC-081</t>
  </si>
  <si>
    <t>Verificar edición de una regla y su efecto en el carrito</t>
  </si>
  <si>
    <t>1. Editar '10 % en Periféricos' y cambiar el valor a 12
2. Clic en 'Guardar cambios'
3. Con el cliente, agregar 1 × Logitech MX Master 3S</t>
  </si>
  <si>
    <t>Se muestra 'Regla actualizada'; en el carrito el descuento es -₡7 188 y el total ₡52 712.</t>
  </si>
  <si>
    <t>TC-082</t>
  </si>
  <si>
    <t>Verificar desactivación y reactivación de una regla</t>
  </si>
  <si>
    <t>1. Clic en 'Desactivar' en '10 % en Periféricos'
2. Con el cliente, revisar un carrito con Logitech MX Master 3S
3. Clic en 'Activar' y recargar el carrito</t>
  </si>
  <si>
    <t>Con la regla inactiva no hay descuento (total ₡59 900) y la tarjeta del catálogo pierde el '-10%'; al reactivarla vuelve a aplicarse.</t>
  </si>
  <si>
    <t>TC-083</t>
  </si>
  <si>
    <t>Verificar eliminación lógica (soft delete) de una regla</t>
  </si>
  <si>
    <t>Sesión iniciada como administrador (admin@techstore.com / Admin123!).
Regla 'QA 5% General' activa.</t>
  </si>
  <si>
    <t>1. Clic en 'Eliminar' en 'QA 5% General' y confirmar
2. Consultar: SELECT IsActive FROM DiscountRules WHERE Name='QA 5% General'</t>
  </si>
  <si>
    <t>Se muestra 'Regla desactivada'; deja de aplicar en carritos y el registro sigue existiendo con IsActive = 0.</t>
  </si>
  <si>
    <t>TC-084</t>
  </si>
  <si>
    <t>Verificar que el combo aplica con todos sus productos en el carrito</t>
  </si>
  <si>
    <t>Sesión iniciada como cliente (cliente.qa@test.com / Prueba123).
Carrito vacío.
Regla semilla 'Combo Gamer' activa.</t>
  </si>
  <si>
    <t>1. Agregar 1 × Logitech G502 HERO, 1 × Razer BlackWidow V4 y 1 × HyperX Cloud II
2. Abrir 'Mi Carrito'</t>
  </si>
  <si>
    <t>Subtotal ₡179 700. Se listan categoría -₡12 980 y 'Combo: Combo Gamer' -₡17 970. Total ₡148 750.</t>
  </si>
  <si>
    <t>HU-16. Script: tests/e2e/specs/05-motor-precios.spec.ts</t>
  </si>
  <si>
    <t>TC-085</t>
  </si>
  <si>
    <t>Verificar que el combo no aplica si falta un producto</t>
  </si>
  <si>
    <t>1. Agregar solo 1 × Logitech G502 HERO y 1 × Razer BlackWidow V4</t>
  </si>
  <si>
    <t>No aparece el descuento 'Combo'; solo el 10 % por categoría (-₡12 980); total ₡116 820.</t>
  </si>
  <si>
    <t>TC-086</t>
  </si>
  <si>
    <t>Verificar creación de un combo desde el panel</t>
  </si>
  <si>
    <t>1. '+ Nueva Regla': Tipo Combo/Bundle; Valor 5; prioridad libre
2. Seleccionar solo 'Kingston NV2 1TB NVMe'
3. Clic en 'Crear Regla'
4. Agregar también 'Samsung 990 Pro 1TB NVMe' y crear</t>
  </si>
  <si>
    <t>Con un solo producto se muestra 'Un combo requiere al menos 2 productos'; con dos productos se crea la regla.</t>
  </si>
  <si>
    <t>HU-16. Script: tests/e2e/specs/06-admin-reglas.spec.ts</t>
  </si>
  <si>
    <t>Pedidos</t>
  </si>
  <si>
    <t>TC-087</t>
  </si>
  <si>
    <t>Verificar checkout exitoso con dirección nueva</t>
  </si>
  <si>
    <t>Cliente sin direcciones guardadas. Carrito con 1 × Kingston NV2 1TB NVMe (stock 40).</t>
  </si>
  <si>
    <t>1. En 'Mi Carrito' clic en 'Proceder al Checkout'
2. Completar dirección exacta, provincia, cantón y código postal; dejar marcado 'Guardar esta dirección en mi perfil'
3. Elegir método de pago 'SINPE Móvil'
4. Clic en 'Confirmar Pedido'</t>
  </si>
  <si>
    <t>Se muestra 'Pedido TS-AAAAMMDD-XXXXXX creado!', se redirige a 'Mis Pedidos' con el pedido resaltado y el contador del carrito queda en 0. La dirección aparece en 'Mi perfil' &gt; 'Direcciones'.</t>
  </si>
  <si>
    <t>HU-17. Script: tests/e2e/specs/07-pedidos.spec.ts</t>
  </si>
  <si>
    <t>TC-088</t>
  </si>
  <si>
    <t>Verificar que el stock se descuenta al confirmar</t>
  </si>
  <si>
    <t>Pedido del caso anterior confirmado.</t>
  </si>
  <si>
    <t>1. Abrir el detalle de 'Kingston NV2 1TB NVMe'</t>
  </si>
  <si>
    <t>El stock disponible pasa de 40 a 39.</t>
  </si>
  <si>
    <t>TC-089</t>
  </si>
  <si>
    <t>Verificar checkout con una dirección guardada</t>
  </si>
  <si>
    <t>Cliente con una dirección guardada. Carrito con al menos un producto.</t>
  </si>
  <si>
    <t>1. Abrir el checkout
2. Verificar que la dirección principal está seleccionada
3. Clic en 'Confirmar Pedido'</t>
  </si>
  <si>
    <t>El pedido se crea con esa dirección; el detalle del pedido muestra la dirección guardada.</t>
  </si>
  <si>
    <t>TC-090</t>
  </si>
  <si>
    <t>Verificar que el resumen del checkout coincide con el carrito</t>
  </si>
  <si>
    <t>Carrito con Logitech MX Master 3S + Razer BlackWidow V4 y cupón TECH20.</t>
  </si>
  <si>
    <t>1. Abrir el checkout
2. Comparar el resumen con el carrito</t>
  </si>
  <si>
    <t>Productos, cantidades, descuento (-₡31 960) y total (₡127 840) son idénticos a los del carrito.</t>
  </si>
  <si>
    <t>TC-091</t>
  </si>
  <si>
    <t>Verificar validación de dirección incompleta</t>
  </si>
  <si>
    <t>Carrito con al menos un producto. Opción 'Usar otra dirección'.</t>
  </si>
  <si>
    <t>1. Abrir el checkout
2. Dejar vacío el campo 'Cantón'
3. Clic en 'Confirmar Pedido'</t>
  </si>
  <si>
    <t>Se muestra 'Completa todos los campos de dirección' y no se crea el pedido.</t>
  </si>
  <si>
    <t>TC-092</t>
  </si>
  <si>
    <t>Verificar que no se puede hacer checkout con el carrito vacío</t>
  </si>
  <si>
    <t>1. Ingresar manualmente a &lt;URL_QA&gt;/checkout</t>
  </si>
  <si>
    <t>Se redirige a 'Mi Carrito'.</t>
  </si>
  <si>
    <t>TC-093</t>
  </si>
  <si>
    <t>Verificar validación de stock al confirmar el pedido</t>
  </si>
  <si>
    <t>Carrito con 2 × ASUS ProArt PA278QV 27"; luego el admin cambia su stock a 1.</t>
  </si>
  <si>
    <t>1. Abrir el checkout
2. Clic en 'Confirmar Pedido'</t>
  </si>
  <si>
    <t>Se muestra 'Stock insuficiente para ASUS ProArt PA278QV 27". Disponible: 1' y no se crea el pedido.</t>
  </si>
  <si>
    <t>TC-094</t>
  </si>
  <si>
    <t>Verificar listado de pedidos ordenado por fecha</t>
  </si>
  <si>
    <t>Cliente con al menos 2 pedidos.</t>
  </si>
  <si>
    <t>1. Menú de usuario &gt; 'Mis pedidos'</t>
  </si>
  <si>
    <t>Se listan los pedidos del más reciente al más antiguo con número, fecha, cantidad de productos, total y estado.</t>
  </si>
  <si>
    <t>HU-18. Script: tests/e2e/specs/07-pedidos.spec.ts</t>
  </si>
  <si>
    <t>TC-095</t>
  </si>
  <si>
    <t>Verificar el detalle de un pedido</t>
  </si>
  <si>
    <t>Cliente con un pedido que usó TECH20.</t>
  </si>
  <si>
    <t>1. Ir a 'Mis pedidos'
2. Clic en el pedido</t>
  </si>
  <si>
    <t>Se muestran la línea de tiempo del estado, productos, cantidades, cada descuento con su monto, total y dirección de envío.</t>
  </si>
  <si>
    <t>TC-096</t>
  </si>
  <si>
    <t>Verificar mensaje cuando el cliente no tiene pedidos</t>
  </si>
  <si>
    <t>Cliente recién registrado sin pedidos.</t>
  </si>
  <si>
    <t>1. Ir a 'Mis pedidos'</t>
  </si>
  <si>
    <t>Se muestra 'No tienes pedidos' con el botón 'Ir al Catálogo'.</t>
  </si>
  <si>
    <t>TC-097</t>
  </si>
  <si>
    <t>Verificar que un cliente no puede ver pedidos de otro cliente</t>
  </si>
  <si>
    <t>Pedido creado por ana.qa01@test.com; token de cliente.qa@test.com.</t>
  </si>
  <si>
    <t>1. GET /api/orders/{idPedidoDeAna} con el token de cliente.qa</t>
  </si>
  <si>
    <t>HTTP 403 Forbidden.</t>
  </si>
  <si>
    <t>TC-098</t>
  </si>
  <si>
    <t>Verificar que el cliente puede cancelar un pedido pendiente</t>
  </si>
  <si>
    <t>Pedido en estado Pendiente con 1 × Kingston NV2 1TB NVMe.</t>
  </si>
  <si>
    <t>1. Ir a 'Mis pedidos'
2. Abrir el pedido
3. Clic en 'Cancelar pedido' y confirmar</t>
  </si>
  <si>
    <t>Se muestra 'Pedido cancelado', el estado cambia a Cancelado y el stock del producto aumenta en 1.</t>
  </si>
  <si>
    <t>Administración - Pedidos</t>
  </si>
  <si>
    <t>TC-099</t>
  </si>
  <si>
    <t>Verificar listado de todos los pedidos con cliente</t>
  </si>
  <si>
    <t>Sesión iniciada como administrador (admin@techstore.com / Admin123!).
Existen pedidos de al menos 2 clientes.</t>
  </si>
  <si>
    <t>1. Ir a Admin &gt; Pedidos</t>
  </si>
  <si>
    <t>Se listan los pedidos de todos los clientes con número, cliente y email, fecha, productos, total y estado; al hacer clic en el número se despliega el detalle.</t>
  </si>
  <si>
    <t>HU-19. Script: tests/e2e/specs/08-admin-pedidos.spec.ts</t>
  </si>
  <si>
    <t>TC-100</t>
  </si>
  <si>
    <t>Verificar filtros por estado y por fecha</t>
  </si>
  <si>
    <t>1. Seleccionar 'Pendientes' en Estado
2. Indicar 'Desde' y 'Hasta' con la fecha de hoy</t>
  </si>
  <si>
    <t>Solo se muestran pedidos pendientes creados hoy; el subtítulo actualiza la cantidad y el total.</t>
  </si>
  <si>
    <t>TC-101</t>
  </si>
  <si>
    <t>Verificar el flujo completo de estados</t>
  </si>
  <si>
    <t>Sesión iniciada como administrador (admin@techstore.com / Admin123!).
Pedido en estado Pendiente.</t>
  </si>
  <si>
    <t>1. Clic en 'Confirmado'
2. Clic en 'Enviado'
3. Clic en 'Entregado'</t>
  </si>
  <si>
    <t>Cada cambio muestra 'Estado actualizado a …' y el pedido termina en Entregado; el cliente ve el avance en la línea de tiempo de 'Mis pedidos'.</t>
  </si>
  <si>
    <t>TC-102</t>
  </si>
  <si>
    <t>Verificar que no se puede saltar estados</t>
  </si>
  <si>
    <t>Token de administrador; pedido en estado Pendiente.</t>
  </si>
  <si>
    <t>1. PUT /api/orders/{id}/status con {"status": "Delivered"}</t>
  </si>
  <si>
    <t>HTTP 400 con 'No se puede cambiar de Pending a Delivered'; el estado no cambia.</t>
  </si>
  <si>
    <t>TC-103</t>
  </si>
  <si>
    <t>Verificar cancelación de un pedido confirmado y restauración de stock</t>
  </si>
  <si>
    <t>Sesión iniciada como administrador (admin@techstore.com / Admin123!).
Pedido Confirmado con 2 × Corsair HS80 RGB Wireless (anotar stock).</t>
  </si>
  <si>
    <t>1. Clic en 'Cancelado' y confirmar</t>
  </si>
  <si>
    <t>El pedido pasa a Cancelado y el stock de Corsair HS80 RGB Wireless aumenta en 2.</t>
  </si>
  <si>
    <t>TC-104</t>
  </si>
  <si>
    <t>Verificar que no se puede cancelar un pedido enviado</t>
  </si>
  <si>
    <t>Sesión iniciada como administrador (admin@techstore.com / Admin123!).
Pedido en estado Enviado.</t>
  </si>
  <si>
    <t>1. Revisar las acciones disponibles del pedido</t>
  </si>
  <si>
    <t>Solo está disponible 'Entregado'; no se ofrece la opción de cancelar.</t>
  </si>
  <si>
    <t>Administración - Productos</t>
  </si>
  <si>
    <t>TC-105</t>
  </si>
  <si>
    <t>Verificar creación de un producto válido con especificaciones</t>
  </si>
  <si>
    <t>1. Ir a Admin &gt; Productos &gt; '+ Nuevo Producto'
2. Nombre: Teclado QA; Descripción; Precio: 24900; Stock: 10; Categoría: Periféricos; Marca: Logitech
3. Agregar característica 'Conexión' = 'USB'
4. Clic en 'Crear'</t>
  </si>
  <si>
    <t>Se muestra 'Producto creado'; aparece en el catálogo con ₡22 410 (10 % de Periféricos) y su detalle muestra la especificación.</t>
  </si>
  <si>
    <t>HU-20. Script: tests/e2e/specs/09-admin-productos.spec.ts</t>
  </si>
  <si>
    <t>TC-106</t>
  </si>
  <si>
    <t>Verificar validación de precio mayor a 0 (valor límite)</t>
  </si>
  <si>
    <t>1. Crear producto con Precio = 0
2. Clic en 'Crear'</t>
  </si>
  <si>
    <t>Se muestra 'El precio debe ser mayor a 0' y no se crea el producto.</t>
  </si>
  <si>
    <t>TC-107</t>
  </si>
  <si>
    <t>Verificar validación de stock no negativo</t>
  </si>
  <si>
    <t>1. Crear producto con Stock = -1
2. Clic en 'Crear'</t>
  </si>
  <si>
    <t>Se muestra 'El stock no puede ser negativo' y no se crea el producto.</t>
  </si>
  <si>
    <t>TC-108</t>
  </si>
  <si>
    <t>Verificar edición de un producto (regresión error 401)</t>
  </si>
  <si>
    <t>1. Editar 'Teclado QA' y cambiar el precio a 19900
2. Clic en 'Actualizar'</t>
  </si>
  <si>
    <t>Se muestra 'Producto actualizado', la sesión se mantiene y el listado muestra ₡19 900.</t>
  </si>
  <si>
    <t>HU-20. Regresión del defecto de Sprint 1 (expulsión al login). Script: tests/e2e/specs/09-admin-productos.spec.ts</t>
  </si>
  <si>
    <t>TC-109</t>
  </si>
  <si>
    <t>Verificar eliminación lógica y reactivación de un producto</t>
  </si>
  <si>
    <t>1. Clic en 'Eliminar' en 'Teclado QA' y confirmar
2. Revisar el catálogo público
3. Filtrar 'Inactivos' en el panel y clic en 'Reactivar'</t>
  </si>
  <si>
    <t>Se muestra 'Producto desactivado' y desaparece del catálogo (el registro queda con IsActive = 0); al reactivarlo vuelve a mostrarse.</t>
  </si>
  <si>
    <t>TC-110</t>
  </si>
  <si>
    <t>Verificar búsqueda y filtros del panel de productos</t>
  </si>
  <si>
    <t>1. Buscar 'Galaxy'
2. Filtrar por 'Stock bajo (menos de 5)'</t>
  </si>
  <si>
    <t>La búsqueda muestra solo productos Galaxy; el filtro de stock bajo muestra 4 productos: Apple MacBook Pro 14 M3, Sony WH-1000XM5, AMD Ryzen 7 7800X3D, PlayStation 5 Slim.</t>
  </si>
  <si>
    <t>TC-111</t>
  </si>
  <si>
    <t>Verificar que un cliente no puede crear productos</t>
  </si>
  <si>
    <t>1. POST /api/products con un cuerpo válido usando el token de cliente</t>
  </si>
  <si>
    <t>HTTP 403 Forbidden; el producto no se crea.</t>
  </si>
  <si>
    <t>Administración - Categorías</t>
  </si>
  <si>
    <t>TC-112</t>
  </si>
  <si>
    <t>Verificar creación de una categoría</t>
  </si>
  <si>
    <t>1. Ir a Admin &gt; Categorías &gt; '+ Nueva Categoría'
2. Nombre: Impresoras; Descripción: Impresoras y tintas
3. Clic en 'Guardar'</t>
  </si>
  <si>
    <t>Se muestra 'Categoría creada'; aparece en el listado con 0 productos y en el menú de categorías del encabezado.</t>
  </si>
  <si>
    <t>HU-21. Script: tests/e2e/specs/10-admin-categorias.spec.ts</t>
  </si>
  <si>
    <t>TC-113</t>
  </si>
  <si>
    <t>Verificar creación de una subcategoría</t>
  </si>
  <si>
    <t>Categoría 'Impresoras' creada.</t>
  </si>
  <si>
    <t>1. Clic en '+ Subcategoría' en 'Impresoras'
2. Nombre: Tintas
3. Guardar</t>
  </si>
  <si>
    <t>La subcategoría aparece debajo de 'Impresoras' y está disponible al crear productos y en los filtros del catálogo.</t>
  </si>
  <si>
    <t>TC-114</t>
  </si>
  <si>
    <t>Verificar edición de una categoría</t>
  </si>
  <si>
    <t>1. Clic en 'Editar' en 'Impresoras'
2. Cambiar la descripción
3. Guardar</t>
  </si>
  <si>
    <t>Se muestra 'Categoría actualizada' con la nueva descripción.</t>
  </si>
  <si>
    <t>TC-115</t>
  </si>
  <si>
    <t>Verificar que no se elimina una categoría con productos</t>
  </si>
  <si>
    <t>1. Clic en 'Eliminar' en 'Periféricos' y confirmar</t>
  </si>
  <si>
    <t>Se muestra 'No se puede eliminar una categoría con productos asociados'; la categoría y sus productos permanecen.</t>
  </si>
  <si>
    <t>TC-116</t>
  </si>
  <si>
    <t>Verificar que no se permiten nombres duplicados</t>
  </si>
  <si>
    <t>1. '+ Nueva Categoría' con nombre 'Laptops'
2. Guardar</t>
  </si>
  <si>
    <t>Se muestra 'Ya existe una categoría con ese nombre'.</t>
  </si>
  <si>
    <t>TC-117</t>
  </si>
  <si>
    <t>Verificar desactivación y reactivación de una categoría vacía</t>
  </si>
  <si>
    <t>Subcategoría 'Tintas' sin productos.</t>
  </si>
  <si>
    <t>1. Eliminar 'Tintas'
2. Clic en 'Reactivar'</t>
  </si>
  <si>
    <t>Al eliminarla aparece como 'Inactiva' y deja de mostrarse en el catálogo; al reactivarla vuelve a estar disponible.</t>
  </si>
  <si>
    <t>Administración - Dashboard</t>
  </si>
  <si>
    <t>TC-118</t>
  </si>
  <si>
    <t>Verificar ventas de hoy, semana y mes</t>
  </si>
  <si>
    <t>Sesión iniciada como administrador (admin@techstore.com / Admin123!).
Al menos un pedido confirmado hoy.</t>
  </si>
  <si>
    <t>1. Ir a Admin &gt; Dashboard</t>
  </si>
  <si>
    <t>Se muestran 'Ventas de hoy', 'Ventas de la semana', 'Ventas del mes' y 'Ticket promedio' en colones, coincidentes con los pedidos registrados.</t>
  </si>
  <si>
    <t>HU-22. Script: tests/e2e/specs/11-dashboard.spec.ts</t>
  </si>
  <si>
    <t>TC-119</t>
  </si>
  <si>
    <t>Verificar gráfico de ventas de los últimos 7 días</t>
  </si>
  <si>
    <t>Sesión iniciada como administrador (admin@techstore.com / Admin123!).
Pedidos creados hoy.</t>
  </si>
  <si>
    <t>1. Ir a Admin &gt; Dashboard
2. Pasar el mouse sobre la barra del día de hoy
3. Abrir 'Ver datos en tabla'</t>
  </si>
  <si>
    <t>El gráfico muestra 7 barras (una por día); el tooltip indica el día, la cantidad de pedidos y el monto; la tabla muestra los mismos valores.</t>
  </si>
  <si>
    <t>TC-120</t>
  </si>
  <si>
    <t>Verificar que los ingresos excluyen pedidos cancelados</t>
  </si>
  <si>
    <t>1. Anotar 'Ventas de hoy'
2. Cancelar un pedido Pendiente de hoy
3. Recargar el dashboard</t>
  </si>
  <si>
    <t>'Ventas de hoy' disminuye en el total del pedido cancelado y 'Cancelado' aumenta en 1 en 'Pedidos por estado'.</t>
  </si>
  <si>
    <t>TC-121</t>
  </si>
  <si>
    <t>Verificar alertas de productos con stock bajo</t>
  </si>
  <si>
    <t>1. Ir a Admin &gt; Dashboard &gt; 'Stock bajo'</t>
  </si>
  <si>
    <t>Se indica '4 productos con menos de 5 unidades' y se listan Apple MacBook Pro 14 M3 (3 unid.), Sony WH-1000XM5 (2 unid.), AMD Ryzen 7 7800X3D (Agotado), PlayStation 5 Slim (4 unid.).</t>
  </si>
  <si>
    <t>TC-122</t>
  </si>
  <si>
    <t>Verificar el top 5 de productos más vendidos</t>
  </si>
  <si>
    <t>Pedidos con distintos productos y cantidades.</t>
  </si>
  <si>
    <t>1. Ir a Admin &gt; Dashboard &gt; 'Productos más vendidos'</t>
  </si>
  <si>
    <t>Se muestran como máximo 5 productos ordenados por unidades vendidas, con sus ingresos.</t>
  </si>
  <si>
    <t>No funcional - Eficiencia de desempeño</t>
  </si>
  <si>
    <t>TC-123</t>
  </si>
  <si>
    <t>Verificar tiempo de respuesta del catálogo</t>
  </si>
  <si>
    <t>Herramienta: Grafana k6 / JMeter – Ambiente QA (AWS).</t>
  </si>
  <si>
    <t>1. Prueba de carga a GET /api/products con 20 usuarios virtuales concurrentes durante 5 minutos.</t>
  </si>
  <si>
    <t>Percentil 95 &lt; 2 s y 0 % de errores HTTP 5xx.</t>
  </si>
  <si>
    <t>RNF-01 (ver QA01 sección 2.4). Script: tests/e2e/specs/12-no-funcionales.spec.ts</t>
  </si>
  <si>
    <t>TC-124</t>
  </si>
  <si>
    <t>Verificar tiempo de cálculo del carrito (motor de precios)</t>
  </si>
  <si>
    <t>Herramienta: Grafana k6 – Ambiente QA (AWS).</t>
  </si>
  <si>
    <t>1. Carga a POST /api/cart/items con 10 usuarios autenticados durante 3 minutos.</t>
  </si>
  <si>
    <t>Percentil 95 &lt; 1 s; descuentos correctos en el 100 % de respuestas.</t>
  </si>
  <si>
    <t>RNF-02 (ver QA01 sección 2.4). Script: tests/e2e/specs/12-no-funcionales.spec.ts</t>
  </si>
  <si>
    <t>TC-125</t>
  </si>
  <si>
    <t>Verificar carga inicial del frontend</t>
  </si>
  <si>
    <t>Herramienta: Playwright – Ambiente QA.</t>
  </si>
  <si>
    <t>1. Medición automática del Largest Contentful Paint (PerformanceObserver) en la página de inicio y el catálogo.</t>
  </si>
  <si>
    <t>LCP &lt; 3 s en ambas páginas.</t>
  </si>
  <si>
    <t>RNF-03 (ver QA01 sección 2.4). Script: tests/e2e/specs/12-no-funcionales.spec.ts</t>
  </si>
  <si>
    <t>No funcional - Seguridad</t>
  </si>
  <si>
    <t>TC-126</t>
  </si>
  <si>
    <t>Verificar contraseñas almacenadas cifradas</t>
  </si>
  <si>
    <t>Herramienta: Playwright (API) – Ambiente QA.</t>
  </si>
  <si>
    <t>1. Registrar un usuario y consultar el prefijo del hash almacenado (endpoint de pruebas).</t>
  </si>
  <si>
    <t>El valor es un hash BCrypt (inicia con $2 y mide 60 caracteres), nunca la contraseña en texto plano.</t>
  </si>
  <si>
    <t>RNF-04 (ver QA01 sección 2.4). Script: tests/e2e/specs/12-no-funcionales.spec.ts</t>
  </si>
  <si>
    <t>TC-127</t>
  </si>
  <si>
    <t>Verificar control de acceso por rol</t>
  </si>
  <si>
    <t>Herramienta: Playwright (API).</t>
  </si>
  <si>
    <t>1. Invocar endpoints de administración sin token y con token de cliente.</t>
  </si>
  <si>
    <t>Sin token: HTTP 401. Token de cliente: HTTP 403. Ningún dato modificado.</t>
  </si>
  <si>
    <t>RNF-05 (ver QA01 sección 2.4). Script: tests/e2e/specs/12-no-funcionales.spec.ts</t>
  </si>
  <si>
    <t>TC-128</t>
  </si>
  <si>
    <t>Verificar vigencia e integridad del token JWT</t>
  </si>
  <si>
    <t>1. Decodificar el token emitido y enviar un token alterado en una petición protegida.</t>
  </si>
  <si>
    <t>exp − iat = 86 400 s (24 h). Token alterado: HTTP 401.</t>
  </si>
  <si>
    <t>RNF-06 (ver QA01 sección 2.4). Script: tests/e2e/specs/12-no-funcionales.spec.ts</t>
  </si>
  <si>
    <t>TC-129</t>
  </si>
  <si>
    <t>Verificar resistencia a inyección SQL y XSS</t>
  </si>
  <si>
    <t>Herramienta: Playwright (UI + API).</t>
  </si>
  <si>
    <t>1. Buscar ' OR 1=1 -- en el catálogo y crear un producto con nombre &lt;script&gt;alert(1)&lt;/script&gt;.</t>
  </si>
  <si>
    <t>Sin errores ni datos adicionales; el script se muestra como texto y no se ejecuta.</t>
  </si>
  <si>
    <t>RNF-07 (ver QA01 sección 2.4). Script: tests/e2e/specs/12-no-funcionales.spec.ts</t>
  </si>
  <si>
    <t>TC-130</t>
  </si>
  <si>
    <t>Verificar comunicación cifrada</t>
  </si>
  <si>
    <t>Herramienta: Playwright (API) – Producción (AWS).</t>
  </si>
  <si>
    <t>1. Acceder al sitio de producción por http:// y revisar el certificado.</t>
  </si>
  <si>
    <t>Redirección automática a https:// (CloudFront con 'Redirect HTTP to HTTPS').</t>
  </si>
  <si>
    <t>RNF-08 (ver QA01 sección 2.4). Script: tests/e2e/specs/12-no-funcionales.spec.ts</t>
  </si>
  <si>
    <t>TC-131</t>
  </si>
  <si>
    <t>Verificar vulnerabilidades comunes (OWASP Top 10)</t>
  </si>
  <si>
    <t>Herramienta: OWASP ZAP baseline (Docker) – Ambiente QA.</t>
  </si>
  <si>
    <t>1. Escaneo pasivo baseline sobre el frontend y la API.</t>
  </si>
  <si>
    <t>0 alertas de riesgo Alto; alertas Medias documentadas con plan.</t>
  </si>
  <si>
    <t>RNF-09 (ver QA01 sección 2.4). Script: tests/e2e/specs/12-no-funcionales.spec.ts</t>
  </si>
  <si>
    <t>TC-132</t>
  </si>
  <si>
    <t>Verificar manejo seguro de errores</t>
  </si>
  <si>
    <t>1. Provocar un error (ID mal formado, cuerpo JSON inválido) en endpoints de la API en el ambiente de AWS.</t>
  </si>
  <si>
    <t>Respuesta 4xx controlada; no se expone stack trace, rutas del servidor ni cadena de conexión.</t>
  </si>
  <si>
    <t>RNF-10 (ver QA01 sección 2.4). Script: tests/e2e/specs/12-no-funcionales.spec.ts</t>
  </si>
  <si>
    <t>No funcional - Usabilidad</t>
  </si>
  <si>
    <t>TC-133</t>
  </si>
  <si>
    <t>Verificar diseño adaptable (responsive)</t>
  </si>
  <si>
    <t>Herramienta: Playwright (viewports 375/768/1366 px).</t>
  </si>
  <si>
    <t>1. Recorrer inicio, catálogo, carrito y checkout en anchos de 375 px, 768 px y 1366 px.</t>
  </si>
  <si>
    <t>Sin desplazamiento horizontal en inicio, catálogo, carrito y checkout.</t>
  </si>
  <si>
    <t>RNF-11 (ver QA01 sección 2.4). Script: tests/e2e/specs/12-no-funcionales.spec.ts</t>
  </si>
  <si>
    <t>TC-134</t>
  </si>
  <si>
    <t>Verificar accesibilidad básica</t>
  </si>
  <si>
    <t>Herramienta: axe-core + Playwright.</t>
  </si>
  <si>
    <t>1. Análisis automático de accesibilidad WCAG 2.0/2.1 A y AA en inicio, catálogo, detalle y carrito.</t>
  </si>
  <si>
    <t>0 violaciones de impacto grave o crítico.</t>
  </si>
  <si>
    <t>RNF-12 (ver QA01 sección 2.4). Script: tests/e2e/specs/12-no-funcionales.spec.ts</t>
  </si>
  <si>
    <t>No funcional - Compatibilidad</t>
  </si>
  <si>
    <t>TC-135</t>
  </si>
  <si>
    <t>Verificar compatibilidad con navegadores</t>
  </si>
  <si>
    <t>Herramienta: Playwright (Chromium, Firefox, Edge).</t>
  </si>
  <si>
    <t>1. Ejecutar el flujo completo (login → carrito → cupón → checkout) en Chrome, Edge y Firefox.</t>
  </si>
  <si>
    <t>Flujo completo sin errores en los 3 navegadores.</t>
  </si>
  <si>
    <t>RNF-13 (ver QA01 sección 2.4). Script: tests/e2e/specs/12-no-funcionales.spec.ts</t>
  </si>
  <si>
    <t>No funcional - Fiabilidad</t>
  </si>
  <si>
    <t>TC-136</t>
  </si>
  <si>
    <t>Verificar integridad de cálculos e inventario</t>
  </si>
  <si>
    <t>1. Validar varios carritos y comparar el stock antes y después de un pedido y su cancelación.</t>
  </si>
  <si>
    <t>Descuento ≤ subtotal; total = subtotal − descuentos; el desglose suma el total; no se vende sin stock; la cancelación restaura el stock.</t>
  </si>
  <si>
    <t>RNF-14 (ver QA01 sección 2.4). Script: tests/e2e/specs/12-no-funcionales.spec.ts</t>
  </si>
  <si>
    <t>TC-137</t>
  </si>
  <si>
    <t>Verificar disponibilidad del servicio</t>
  </si>
  <si>
    <t>Herramienta: Playwright + Amazon CloudWatch Synthetics.</t>
  </si>
  <si>
    <t>1. Sondeo automático de la web y la API (10 solicitudes) y monitoreo continuo cada 5 minutos en producción.</t>
  </si>
  <si>
    <t>100 % de respuestas 200 en &lt; 5 s; disponibilidad ≥ 99 % en el periodo.</t>
  </si>
  <si>
    <t>RNF-15 (ver QA01 sección 2.4). Script: tests/e2e/specs/12-no-funcionales.spec.ts</t>
  </si>
  <si>
    <t>TC-138</t>
  </si>
  <si>
    <t>Verificar respaldo y recuperación de la base de datos</t>
  </si>
  <si>
    <t>Herramienta: AWS CLI (scripts/aws/test-restore.ps1).</t>
  </si>
  <si>
    <t>1. Script que restaura la instancia RDS a un punto en el tiempo en una instancia nueva, verifica que quede disponible y la elimina.</t>
  </si>
  <si>
    <t>Instancia restaurada disponible en &lt; 60 min.</t>
  </si>
  <si>
    <t>RNF-16 (ver QA01 sección 2.4). Script: tests/e2e/specs/12-no-funcionales.spec.ts</t>
  </si>
  <si>
    <t>No funcional - Mantenibilidad</t>
  </si>
  <si>
    <t>TC-139</t>
  </si>
  <si>
    <t>Verificar pruebas automatizadas del core</t>
  </si>
  <si>
    <t>Herramienta: xUnit + Moq (.NET 8).</t>
  </si>
  <si>
    <t>1. Ejecutar dotnet test sobre la solución.</t>
  </si>
  <si>
    <t>28/28 pruebas unitarias aprobadas; compilación sin errores.</t>
  </si>
  <si>
    <t>RNF-17 (ver QA01 sección 2.4). Script: tests/e2e/specs/12-no-funcionales.spec.ts</t>
  </si>
  <si>
    <t>No funcional - Portabilidad</t>
  </si>
  <si>
    <t>TC-140</t>
  </si>
  <si>
    <t>Verificar instalabilidad del sistema</t>
  </si>
  <si>
    <t>Herramienta: AWS CLI (scripts/aws/deploy.ps1) + Playwright.</t>
  </si>
  <si>
    <t>1. Script de despliegue (compilación, publicación y nueva versión en Elastic Beanstalk) seguido de la prueba de humo @smoke.</t>
  </si>
  <si>
    <t>Sistema operativo en &lt; 60 min y prueba de humo aprobada.</t>
  </si>
  <si>
    <t>RNF-18 (ver QA01 sección 2.4). Script: tests/e2e/specs/13-humo.spec.ts</t>
  </si>
  <si>
    <t>Matriz de trazabilidad – Historias de usuario y requerimientos no funcionales vs. casos de prueba</t>
  </si>
  <si>
    <t>ID</t>
  </si>
  <si>
    <t>Nombre</t>
  </si>
  <si>
    <t>Casos de prueba</t>
  </si>
  <si>
    <t>Cantidad</t>
  </si>
  <si>
    <t>Observación</t>
  </si>
  <si>
    <t>HU-01</t>
  </si>
  <si>
    <t>Registro de cliente</t>
  </si>
  <si>
    <t>TC-001, TC-002, TC-003, TC-004, TC-005, TC-006, TC-007</t>
  </si>
  <si>
    <t>HU-02</t>
  </si>
  <si>
    <t>Inicio de sesión</t>
  </si>
  <si>
    <t>TC-008, TC-009, TC-010, TC-011, TC-012, TC-013</t>
  </si>
  <si>
    <t>HU-03</t>
  </si>
  <si>
    <t>Gestión de perfil</t>
  </si>
  <si>
    <t>TC-014, TC-015, TC-016, TC-017, TC-018, TC-019</t>
  </si>
  <si>
    <t>HU-04</t>
  </si>
  <si>
    <t>Navegar catálogo</t>
  </si>
  <si>
    <t>TC-020, TC-021, TC-022, TC-023, TC-024</t>
  </si>
  <si>
    <t>HU-05</t>
  </si>
  <si>
    <t>Buscar productos</t>
  </si>
  <si>
    <t>TC-025, TC-026, TC-027, TC-028</t>
  </si>
  <si>
    <t>HU-06</t>
  </si>
  <si>
    <t>Filtrar productos</t>
  </si>
  <si>
    <t>TC-029, TC-030, TC-031, TC-032, TC-033, TC-034, TC-035</t>
  </si>
  <si>
    <t>HU-07</t>
  </si>
  <si>
    <t>Ver detalle de producto</t>
  </si>
  <si>
    <t>TC-036, TC-037, TC-038, TC-039, TC-040</t>
  </si>
  <si>
    <t>HU-08</t>
  </si>
  <si>
    <t>Agregar producto al carrito</t>
  </si>
  <si>
    <t>TC-041, TC-042, TC-043, TC-044, TC-045, TC-046</t>
  </si>
  <si>
    <t>Incluye regresión del defecto HTTP 500</t>
  </si>
  <si>
    <t>HU-09</t>
  </si>
  <si>
    <t>Gestionar carrito</t>
  </si>
  <si>
    <t>TC-047, TC-048, TC-049, TC-050, TC-051</t>
  </si>
  <si>
    <t>HU-10</t>
  </si>
  <si>
    <t>Ver descuentos aplicados en el carrito</t>
  </si>
  <si>
    <t>TC-052, TC-053, TC-054</t>
  </si>
  <si>
    <t>HU-11</t>
  </si>
  <si>
    <t>Aplicar cupón de descuento</t>
  </si>
  <si>
    <t>TC-055, TC-056, TC-057, TC-058, TC-059, TC-060, TC-061, TC-062</t>
  </si>
  <si>
    <t>HU-12</t>
  </si>
  <si>
    <t>Descuento automático por volumen</t>
  </si>
  <si>
    <t>TC-063, TC-064, TC-065, TC-066</t>
  </si>
  <si>
    <t>HU-13</t>
  </si>
  <si>
    <t>Ofertas por tiempo limitado</t>
  </si>
  <si>
    <t>TC-067, TC-068, TC-069, TC-070, TC-071</t>
  </si>
  <si>
    <t>HU-14</t>
  </si>
  <si>
    <t>Crear regla de descuento (Admin)</t>
  </si>
  <si>
    <t>TC-072, TC-073, TC-074, TC-075, TC-076, TC-077, TC-078</t>
  </si>
  <si>
    <t>HU-15</t>
  </si>
  <si>
    <t>Gestionar reglas de descuento (Admin)</t>
  </si>
  <si>
    <t>TC-079, TC-080, TC-081, TC-082, TC-083</t>
  </si>
  <si>
    <t>HU-16</t>
  </si>
  <si>
    <t>Descuento por combo/bundle</t>
  </si>
  <si>
    <t>TC-084, TC-085, TC-086</t>
  </si>
  <si>
    <t>HU-17</t>
  </si>
  <si>
    <t>Realizar checkout</t>
  </si>
  <si>
    <t>TC-087, TC-088, TC-089, TC-090, TC-091, TC-092, TC-093</t>
  </si>
  <si>
    <t>HU-18</t>
  </si>
  <si>
    <t>Ver historial de pedidos</t>
  </si>
  <si>
    <t>TC-094, TC-095, TC-096, TC-097, TC-098</t>
  </si>
  <si>
    <t>HU-19</t>
  </si>
  <si>
    <t>Gestionar pedidos (Admin)</t>
  </si>
  <si>
    <t>TC-099, TC-100, TC-101, TC-102, TC-103, TC-104</t>
  </si>
  <si>
    <t>HU-20</t>
  </si>
  <si>
    <t>CRUD de productos (Admin)</t>
  </si>
  <si>
    <t>TC-105, TC-106, TC-107, TC-108, TC-109, TC-110, TC-111</t>
  </si>
  <si>
    <t>HU-21</t>
  </si>
  <si>
    <t>CRUD de categorías (Admin)</t>
  </si>
  <si>
    <t>TC-112, TC-113, TC-114, TC-115, TC-116, TC-117</t>
  </si>
  <si>
    <t>HU-22</t>
  </si>
  <si>
    <t>Dashboard de administración</t>
  </si>
  <si>
    <t>TC-118, TC-119, TC-120, TC-121, TC-122</t>
  </si>
  <si>
    <t>RNF-01</t>
  </si>
  <si>
    <t>Tiempo de respuesta del catálogo</t>
  </si>
  <si>
    <t>Eficiencia de desempeño</t>
  </si>
  <si>
    <t>RNF-02</t>
  </si>
  <si>
    <t>Tiempo de cálculo del carrito (motor de precios)</t>
  </si>
  <si>
    <t>RNF-03</t>
  </si>
  <si>
    <t>Carga inicial del frontend</t>
  </si>
  <si>
    <t>RNF-04</t>
  </si>
  <si>
    <t>Contraseñas almacenadas cifradas</t>
  </si>
  <si>
    <t>Seguridad</t>
  </si>
  <si>
    <t>RNF-05</t>
  </si>
  <si>
    <t>Control de acceso por rol</t>
  </si>
  <si>
    <t>RNF-06</t>
  </si>
  <si>
    <t>Vigencia e integridad del token JWT</t>
  </si>
  <si>
    <t>RNF-07</t>
  </si>
  <si>
    <t>Resistencia a inyección SQL y XSS</t>
  </si>
  <si>
    <t>RNF-08</t>
  </si>
  <si>
    <t>Comunicación cifrada</t>
  </si>
  <si>
    <t>RNF-09</t>
  </si>
  <si>
    <t>Vulnerabilidades comunes (OWASP Top 10)</t>
  </si>
  <si>
    <t>RNF-10</t>
  </si>
  <si>
    <t>Manejo seguro de errores</t>
  </si>
  <si>
    <t>RNF-11</t>
  </si>
  <si>
    <t>Diseño adaptable (responsive)</t>
  </si>
  <si>
    <t>Usabilidad</t>
  </si>
  <si>
    <t>RNF-12</t>
  </si>
  <si>
    <t>Accesibilidad básica</t>
  </si>
  <si>
    <t>RNF-13</t>
  </si>
  <si>
    <t>Compatibilidad con navegadores</t>
  </si>
  <si>
    <t>Compatibilidad</t>
  </si>
  <si>
    <t>RNF-14</t>
  </si>
  <si>
    <t>Integridad de cálculos e inventario</t>
  </si>
  <si>
    <t>Fiabilidad</t>
  </si>
  <si>
    <t>RNF-15</t>
  </si>
  <si>
    <t>Disponibilidad del servicio</t>
  </si>
  <si>
    <t>RNF-16</t>
  </si>
  <si>
    <t>Respaldo y recuperación de la base de datos</t>
  </si>
  <si>
    <t>RNF-17</t>
  </si>
  <si>
    <t>Pruebas automatizadas del core</t>
  </si>
  <si>
    <t>Mantenibilidad</t>
  </si>
  <si>
    <t>RNF-18</t>
  </si>
  <si>
    <t>Instalabilidad del sistema</t>
  </si>
  <si>
    <t>Portabilidad</t>
  </si>
  <si>
    <t>Resumen de ejecución</t>
  </si>
  <si>
    <t>Total de casos</t>
  </si>
  <si>
    <t>Passed</t>
  </si>
  <si>
    <t>Failed</t>
  </si>
  <si>
    <t>Blocked</t>
  </si>
  <si>
    <t>% aprobados</t>
  </si>
  <si>
    <t>Casos funcionales (HU)</t>
  </si>
  <si>
    <t>Casos no funcionales (RNF)</t>
  </si>
  <si>
    <t>Historias de usuario cubiertas</t>
  </si>
  <si>
    <t>22 de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</si>
</sst>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sz val="9"/>
      <color theme="1"/>
      <name val="Arial"/>
    </font>
    <font>
      <b/>
      <sz val="11"/>
      <color theme="1"/>
      <name val="Arial"/>
    </font>
    <font>
      <sz val="11"/>
      <color theme="1"/>
      <name val="Arial"/>
    </font>
    <font>
      <sz val="11"/>
      <color rgb="FF000000"/>
      <name val="Arial"/>
    </font>
    <font>
      <b/>
      <sz val="9"/>
      <color theme="1"/>
      <name val="Arial"/>
    </font>
    <font>
      <b/>
      <sz val="12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right"/>
    </xf>
    <xf numFmtId="0" fontId="4" fillId="0" borderId="1" xfId="0" applyFont="1" applyBorder="1"/>
    <xf numFmtId="0" fontId="5" fillId="0" borderId="0" xfId="0" applyFont="1"/>
    <xf numFmtId="0" fontId="6" fillId="0" borderId="0" xfId="0" applyFont="1"/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14" fontId="3" fillId="0" borderId="1" xfId="0" applyNumberFormat="1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8" fillId="0" borderId="0" xfId="0" applyFont="1"/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9" fillId="0" borderId="1" xfId="0" applyFont="1" applyBorder="1"/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/>
    <xf numFmtId="0" fontId="0" fillId="0" borderId="3" xfId="0" applyBorder="1"/>
    <xf numFmtId="0" fontId="0" fillId="0" borderId="2" xfId="0" applyBorder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E1006"/>
  <sheetViews>
    <sheetView showGridLines="0" tabSelected="1" topLeftCell="E1" workbookViewId="0">
      <selection activeCell="H8" sqref="H8"/>
    </sheetView>
  </sheetViews>
  <sheetFormatPr defaultColWidth="14.453125" defaultRowHeight="15.75" customHeight="1" x14ac:dyDescent="0.25"/>
  <cols>
    <col min="1" max="1" width="1.26953125" customWidth="1"/>
    <col min="2" max="2" width="20" customWidth="1"/>
    <col min="3" max="3" width="10" customWidth="1"/>
    <col min="4" max="4" width="35.26953125" customWidth="1"/>
    <col min="5" max="5" width="24.54296875" customWidth="1"/>
    <col min="6" max="6" width="42" customWidth="1"/>
    <col min="7" max="7" width="36" customWidth="1"/>
    <col min="8" max="8" width="10" customWidth="1"/>
    <col min="9" max="10" width="13" customWidth="1"/>
    <col min="11" max="11" width="11" customWidth="1"/>
    <col min="12" max="12" width="28" customWidth="1"/>
  </cols>
  <sheetData>
    <row r="1" spans="1:31" ht="12.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4" customHeight="1" x14ac:dyDescent="0.3">
      <c r="A2" s="1"/>
      <c r="B2" s="4" t="s">
        <v>0</v>
      </c>
      <c r="C2" s="19" t="s">
        <v>1</v>
      </c>
      <c r="D2" s="20"/>
      <c r="E2" s="20"/>
      <c r="F2" s="20"/>
      <c r="G2" s="2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4" customHeight="1" x14ac:dyDescent="0.3">
      <c r="A3" s="1"/>
      <c r="B3" s="4" t="s">
        <v>2</v>
      </c>
      <c r="C3" s="19" t="s">
        <v>3</v>
      </c>
      <c r="D3" s="20"/>
      <c r="E3" s="20"/>
      <c r="F3" s="20"/>
      <c r="G3" s="21"/>
      <c r="H3" s="2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4" customHeight="1" x14ac:dyDescent="0.3">
      <c r="A4" s="1"/>
      <c r="B4" s="4" t="s">
        <v>4</v>
      </c>
      <c r="C4" s="19" t="s">
        <v>5</v>
      </c>
      <c r="D4" s="20"/>
      <c r="E4" s="20"/>
      <c r="F4" s="20"/>
      <c r="G4" s="2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4" customHeight="1" x14ac:dyDescent="0.3">
      <c r="A5" s="1"/>
      <c r="B5" s="4" t="s">
        <v>6</v>
      </c>
      <c r="C5" s="19" t="s">
        <v>7</v>
      </c>
      <c r="D5" s="20"/>
      <c r="E5" s="20"/>
      <c r="F5" s="20"/>
      <c r="G5" s="2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2.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s="6" customFormat="1" ht="30" customHeight="1" x14ac:dyDescent="0.3">
      <c r="A7" s="5"/>
      <c r="B7" s="7" t="s">
        <v>8</v>
      </c>
      <c r="C7" s="7" t="s">
        <v>9</v>
      </c>
      <c r="D7" s="7" t="s">
        <v>10</v>
      </c>
      <c r="E7" s="7" t="s">
        <v>11</v>
      </c>
      <c r="F7" s="7" t="s">
        <v>12</v>
      </c>
      <c r="G7" s="7" t="s">
        <v>13</v>
      </c>
      <c r="H7" s="7" t="s">
        <v>14</v>
      </c>
      <c r="I7" s="7" t="s">
        <v>15</v>
      </c>
      <c r="J7" s="7" t="s">
        <v>16</v>
      </c>
      <c r="K7" s="7" t="s">
        <v>17</v>
      </c>
      <c r="L7" s="7" t="s">
        <v>18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 spans="1:31" ht="65" customHeight="1" x14ac:dyDescent="0.25">
      <c r="A8" s="1"/>
      <c r="B8" s="8" t="s">
        <v>19</v>
      </c>
      <c r="C8" s="9" t="s">
        <v>20</v>
      </c>
      <c r="D8" s="10" t="s">
        <v>21</v>
      </c>
      <c r="E8" s="10" t="s">
        <v>22</v>
      </c>
      <c r="F8" s="10" t="s">
        <v>23</v>
      </c>
      <c r="G8" s="10" t="s">
        <v>24</v>
      </c>
      <c r="H8" s="9" t="s">
        <v>25</v>
      </c>
      <c r="I8" s="9" t="s">
        <v>26</v>
      </c>
      <c r="J8" s="11"/>
      <c r="K8" s="12" t="s">
        <v>27</v>
      </c>
      <c r="L8" s="10" t="s">
        <v>28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52" customHeight="1" x14ac:dyDescent="0.25">
      <c r="A9" s="1"/>
      <c r="B9" s="8" t="s">
        <v>19</v>
      </c>
      <c r="C9" s="9" t="s">
        <v>29</v>
      </c>
      <c r="D9" s="10" t="s">
        <v>30</v>
      </c>
      <c r="E9" s="10" t="s">
        <v>31</v>
      </c>
      <c r="F9" s="10" t="s">
        <v>32</v>
      </c>
      <c r="G9" s="10" t="s">
        <v>33</v>
      </c>
      <c r="H9" s="9" t="s">
        <v>25</v>
      </c>
      <c r="I9" s="9" t="s">
        <v>26</v>
      </c>
      <c r="J9" s="11"/>
      <c r="K9" s="12" t="s">
        <v>27</v>
      </c>
      <c r="L9" s="10" t="s">
        <v>28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52" customHeight="1" x14ac:dyDescent="0.25">
      <c r="A10" s="1"/>
      <c r="B10" s="8" t="s">
        <v>19</v>
      </c>
      <c r="C10" s="9" t="s">
        <v>34</v>
      </c>
      <c r="D10" s="10" t="s">
        <v>35</v>
      </c>
      <c r="E10" s="10" t="s">
        <v>36</v>
      </c>
      <c r="F10" s="10" t="s">
        <v>37</v>
      </c>
      <c r="G10" s="10" t="s">
        <v>38</v>
      </c>
      <c r="H10" s="9" t="s">
        <v>39</v>
      </c>
      <c r="I10" s="9" t="s">
        <v>26</v>
      </c>
      <c r="J10" s="11"/>
      <c r="K10" s="12" t="s">
        <v>27</v>
      </c>
      <c r="L10" s="10" t="s">
        <v>28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52" customHeight="1" x14ac:dyDescent="0.25">
      <c r="A11" s="1"/>
      <c r="B11" s="8" t="s">
        <v>19</v>
      </c>
      <c r="C11" s="9" t="s">
        <v>40</v>
      </c>
      <c r="D11" s="10" t="s">
        <v>41</v>
      </c>
      <c r="E11" s="10" t="s">
        <v>36</v>
      </c>
      <c r="F11" s="10" t="s">
        <v>42</v>
      </c>
      <c r="G11" s="10" t="s">
        <v>43</v>
      </c>
      <c r="H11" s="9" t="s">
        <v>39</v>
      </c>
      <c r="I11" s="9" t="s">
        <v>26</v>
      </c>
      <c r="J11" s="11"/>
      <c r="K11" s="12" t="s">
        <v>27</v>
      </c>
      <c r="L11" s="10" t="s">
        <v>28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65" customHeight="1" x14ac:dyDescent="0.25">
      <c r="A12" s="1"/>
      <c r="B12" s="8" t="s">
        <v>19</v>
      </c>
      <c r="C12" s="9" t="s">
        <v>44</v>
      </c>
      <c r="D12" s="10" t="s">
        <v>45</v>
      </c>
      <c r="E12" s="10" t="s">
        <v>36</v>
      </c>
      <c r="F12" s="10" t="s">
        <v>46</v>
      </c>
      <c r="G12" s="10" t="s">
        <v>47</v>
      </c>
      <c r="H12" s="9" t="s">
        <v>25</v>
      </c>
      <c r="I12" s="9" t="s">
        <v>26</v>
      </c>
      <c r="J12" s="11"/>
      <c r="K12" s="12" t="s">
        <v>27</v>
      </c>
      <c r="L12" s="10" t="s">
        <v>28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39" customHeight="1" x14ac:dyDescent="0.25">
      <c r="A13" s="1"/>
      <c r="B13" s="8" t="s">
        <v>19</v>
      </c>
      <c r="C13" s="9" t="s">
        <v>48</v>
      </c>
      <c r="D13" s="10" t="s">
        <v>49</v>
      </c>
      <c r="E13" s="10" t="s">
        <v>36</v>
      </c>
      <c r="F13" s="10" t="s">
        <v>50</v>
      </c>
      <c r="G13" s="10" t="s">
        <v>51</v>
      </c>
      <c r="H13" s="9" t="s">
        <v>39</v>
      </c>
      <c r="I13" s="9" t="s">
        <v>26</v>
      </c>
      <c r="J13" s="11"/>
      <c r="K13" s="12" t="s">
        <v>27</v>
      </c>
      <c r="L13" s="10" t="s">
        <v>28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39" customHeight="1" x14ac:dyDescent="0.25">
      <c r="A14" s="1"/>
      <c r="B14" s="8" t="s">
        <v>19</v>
      </c>
      <c r="C14" s="9" t="s">
        <v>52</v>
      </c>
      <c r="D14" s="10" t="s">
        <v>53</v>
      </c>
      <c r="E14" s="10" t="s">
        <v>36</v>
      </c>
      <c r="F14" s="10" t="s">
        <v>54</v>
      </c>
      <c r="G14" s="10" t="s">
        <v>55</v>
      </c>
      <c r="H14" s="9" t="s">
        <v>56</v>
      </c>
      <c r="I14" s="9" t="s">
        <v>26</v>
      </c>
      <c r="J14" s="11"/>
      <c r="K14" s="12" t="s">
        <v>27</v>
      </c>
      <c r="L14" s="10" t="s">
        <v>28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52" customHeight="1" x14ac:dyDescent="0.25">
      <c r="A15" s="1"/>
      <c r="B15" s="8" t="s">
        <v>19</v>
      </c>
      <c r="C15" s="9" t="s">
        <v>57</v>
      </c>
      <c r="D15" s="10" t="s">
        <v>58</v>
      </c>
      <c r="E15" s="10" t="s">
        <v>59</v>
      </c>
      <c r="F15" s="10" t="s">
        <v>60</v>
      </c>
      <c r="G15" s="10" t="s">
        <v>61</v>
      </c>
      <c r="H15" s="9" t="s">
        <v>25</v>
      </c>
      <c r="I15" s="9" t="s">
        <v>26</v>
      </c>
      <c r="J15" s="11"/>
      <c r="K15" s="12" t="s">
        <v>27</v>
      </c>
      <c r="L15" s="10" t="s">
        <v>62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52" customHeight="1" x14ac:dyDescent="0.25">
      <c r="A16" s="1"/>
      <c r="B16" s="8" t="s">
        <v>19</v>
      </c>
      <c r="C16" s="9" t="s">
        <v>63</v>
      </c>
      <c r="D16" s="10" t="s">
        <v>64</v>
      </c>
      <c r="E16" s="10" t="s">
        <v>59</v>
      </c>
      <c r="F16" s="10" t="s">
        <v>65</v>
      </c>
      <c r="G16" s="10" t="s">
        <v>66</v>
      </c>
      <c r="H16" s="9" t="s">
        <v>25</v>
      </c>
      <c r="I16" s="9" t="s">
        <v>26</v>
      </c>
      <c r="J16" s="11"/>
      <c r="K16" s="12" t="s">
        <v>27</v>
      </c>
      <c r="L16" s="10" t="s">
        <v>62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52" customHeight="1" x14ac:dyDescent="0.25">
      <c r="A17" s="1"/>
      <c r="B17" s="8" t="s">
        <v>19</v>
      </c>
      <c r="C17" s="9" t="s">
        <v>67</v>
      </c>
      <c r="D17" s="10" t="s">
        <v>68</v>
      </c>
      <c r="E17" s="10" t="s">
        <v>69</v>
      </c>
      <c r="F17" s="10" t="s">
        <v>70</v>
      </c>
      <c r="G17" s="10" t="s">
        <v>71</v>
      </c>
      <c r="H17" s="9" t="s">
        <v>39</v>
      </c>
      <c r="I17" s="9" t="s">
        <v>26</v>
      </c>
      <c r="J17" s="11"/>
      <c r="K17" s="12" t="s">
        <v>27</v>
      </c>
      <c r="L17" s="10" t="s">
        <v>62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52" customHeight="1" x14ac:dyDescent="0.25">
      <c r="A18" s="1"/>
      <c r="B18" s="8" t="s">
        <v>19</v>
      </c>
      <c r="C18" s="9" t="s">
        <v>72</v>
      </c>
      <c r="D18" s="10" t="s">
        <v>73</v>
      </c>
      <c r="E18" s="10" t="s">
        <v>74</v>
      </c>
      <c r="F18" s="10" t="s">
        <v>75</v>
      </c>
      <c r="G18" s="10" t="s">
        <v>76</v>
      </c>
      <c r="H18" s="9" t="s">
        <v>25</v>
      </c>
      <c r="I18" s="9" t="s">
        <v>26</v>
      </c>
      <c r="J18" s="11"/>
      <c r="K18" s="12" t="s">
        <v>27</v>
      </c>
      <c r="L18" s="10" t="s">
        <v>62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39" customHeight="1" x14ac:dyDescent="0.25">
      <c r="A19" s="1"/>
      <c r="B19" s="8" t="s">
        <v>19</v>
      </c>
      <c r="C19" s="9" t="s">
        <v>77</v>
      </c>
      <c r="D19" s="10" t="s">
        <v>78</v>
      </c>
      <c r="E19" s="10" t="s">
        <v>74</v>
      </c>
      <c r="F19" s="10" t="s">
        <v>79</v>
      </c>
      <c r="G19" s="10" t="s">
        <v>80</v>
      </c>
      <c r="H19" s="9" t="s">
        <v>25</v>
      </c>
      <c r="I19" s="9" t="s">
        <v>26</v>
      </c>
      <c r="J19" s="11"/>
      <c r="K19" s="12" t="s">
        <v>27</v>
      </c>
      <c r="L19" s="10" t="s">
        <v>62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52" customHeight="1" x14ac:dyDescent="0.25">
      <c r="A20" s="1"/>
      <c r="B20" s="8" t="s">
        <v>19</v>
      </c>
      <c r="C20" s="9" t="s">
        <v>81</v>
      </c>
      <c r="D20" s="10" t="s">
        <v>82</v>
      </c>
      <c r="E20" s="10" t="s">
        <v>83</v>
      </c>
      <c r="F20" s="10" t="s">
        <v>84</v>
      </c>
      <c r="G20" s="10" t="s">
        <v>85</v>
      </c>
      <c r="H20" s="9" t="s">
        <v>39</v>
      </c>
      <c r="I20" s="9" t="s">
        <v>26</v>
      </c>
      <c r="J20" s="11"/>
      <c r="K20" s="12" t="s">
        <v>27</v>
      </c>
      <c r="L20" s="10" t="s">
        <v>62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78" customHeight="1" x14ac:dyDescent="0.25">
      <c r="A21" s="1"/>
      <c r="B21" s="8" t="s">
        <v>86</v>
      </c>
      <c r="C21" s="9" t="s">
        <v>87</v>
      </c>
      <c r="D21" s="10" t="s">
        <v>88</v>
      </c>
      <c r="E21" s="10" t="s">
        <v>74</v>
      </c>
      <c r="F21" s="10" t="s">
        <v>89</v>
      </c>
      <c r="G21" s="10" t="s">
        <v>90</v>
      </c>
      <c r="H21" s="9" t="s">
        <v>39</v>
      </c>
      <c r="I21" s="9" t="s">
        <v>26</v>
      </c>
      <c r="J21" s="11"/>
      <c r="K21" s="12" t="s">
        <v>27</v>
      </c>
      <c r="L21" s="10" t="s">
        <v>91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39" customHeight="1" x14ac:dyDescent="0.25">
      <c r="A22" s="1"/>
      <c r="B22" s="8" t="s">
        <v>86</v>
      </c>
      <c r="C22" s="9" t="s">
        <v>92</v>
      </c>
      <c r="D22" s="10" t="s">
        <v>93</v>
      </c>
      <c r="E22" s="10" t="s">
        <v>74</v>
      </c>
      <c r="F22" s="10" t="s">
        <v>94</v>
      </c>
      <c r="G22" s="10" t="s">
        <v>95</v>
      </c>
      <c r="H22" s="9" t="s">
        <v>39</v>
      </c>
      <c r="I22" s="9" t="s">
        <v>26</v>
      </c>
      <c r="J22" s="11"/>
      <c r="K22" s="12" t="s">
        <v>27</v>
      </c>
      <c r="L22" s="10" t="s">
        <v>91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78" customHeight="1" x14ac:dyDescent="0.25">
      <c r="A23" s="1"/>
      <c r="B23" s="8" t="s">
        <v>86</v>
      </c>
      <c r="C23" s="9" t="s">
        <v>96</v>
      </c>
      <c r="D23" s="10" t="s">
        <v>97</v>
      </c>
      <c r="E23" s="10" t="s">
        <v>98</v>
      </c>
      <c r="F23" s="10" t="s">
        <v>99</v>
      </c>
      <c r="G23" s="10" t="s">
        <v>100</v>
      </c>
      <c r="H23" s="9" t="s">
        <v>39</v>
      </c>
      <c r="I23" s="9" t="s">
        <v>26</v>
      </c>
      <c r="J23" s="11"/>
      <c r="K23" s="12" t="s">
        <v>27</v>
      </c>
      <c r="L23" s="10" t="s">
        <v>91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65" customHeight="1" x14ac:dyDescent="0.25">
      <c r="A24" s="1"/>
      <c r="B24" s="8" t="s">
        <v>86</v>
      </c>
      <c r="C24" s="9" t="s">
        <v>101</v>
      </c>
      <c r="D24" s="10" t="s">
        <v>102</v>
      </c>
      <c r="E24" s="10" t="s">
        <v>103</v>
      </c>
      <c r="F24" s="10" t="s">
        <v>104</v>
      </c>
      <c r="G24" s="10" t="s">
        <v>105</v>
      </c>
      <c r="H24" s="9" t="s">
        <v>39</v>
      </c>
      <c r="I24" s="9" t="s">
        <v>26</v>
      </c>
      <c r="J24" s="11"/>
      <c r="K24" s="12" t="s">
        <v>27</v>
      </c>
      <c r="L24" s="10" t="s">
        <v>91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78" customHeight="1" x14ac:dyDescent="0.25">
      <c r="A25" s="1"/>
      <c r="B25" s="8" t="s">
        <v>86</v>
      </c>
      <c r="C25" s="9" t="s">
        <v>106</v>
      </c>
      <c r="D25" s="10" t="s">
        <v>107</v>
      </c>
      <c r="E25" s="10" t="s">
        <v>74</v>
      </c>
      <c r="F25" s="10" t="s">
        <v>108</v>
      </c>
      <c r="G25" s="10" t="s">
        <v>109</v>
      </c>
      <c r="H25" s="9" t="s">
        <v>39</v>
      </c>
      <c r="I25" s="9" t="s">
        <v>26</v>
      </c>
      <c r="J25" s="11"/>
      <c r="K25" s="12" t="s">
        <v>27</v>
      </c>
      <c r="L25" s="10" t="s">
        <v>91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52" customHeight="1" x14ac:dyDescent="0.25">
      <c r="A26" s="1"/>
      <c r="B26" s="8" t="s">
        <v>86</v>
      </c>
      <c r="C26" s="9" t="s">
        <v>110</v>
      </c>
      <c r="D26" s="10" t="s">
        <v>111</v>
      </c>
      <c r="E26" s="10" t="s">
        <v>74</v>
      </c>
      <c r="F26" s="10" t="s">
        <v>112</v>
      </c>
      <c r="G26" s="10" t="s">
        <v>113</v>
      </c>
      <c r="H26" s="9" t="s">
        <v>56</v>
      </c>
      <c r="I26" s="9" t="s">
        <v>26</v>
      </c>
      <c r="J26" s="11"/>
      <c r="K26" s="12" t="s">
        <v>27</v>
      </c>
      <c r="L26" s="10" t="s">
        <v>91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65" customHeight="1" x14ac:dyDescent="0.25">
      <c r="A27" s="1"/>
      <c r="B27" s="8" t="s">
        <v>114</v>
      </c>
      <c r="C27" s="9" t="s">
        <v>115</v>
      </c>
      <c r="D27" s="10" t="s">
        <v>116</v>
      </c>
      <c r="E27" s="10" t="s">
        <v>117</v>
      </c>
      <c r="F27" s="10" t="s">
        <v>118</v>
      </c>
      <c r="G27" s="10" t="s">
        <v>119</v>
      </c>
      <c r="H27" s="9" t="s">
        <v>25</v>
      </c>
      <c r="I27" s="9" t="s">
        <v>26</v>
      </c>
      <c r="J27" s="11"/>
      <c r="K27" s="12" t="s">
        <v>27</v>
      </c>
      <c r="L27" s="10" t="s">
        <v>120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52" customHeight="1" x14ac:dyDescent="0.25">
      <c r="A28" s="1"/>
      <c r="B28" s="8" t="s">
        <v>114</v>
      </c>
      <c r="C28" s="9" t="s">
        <v>121</v>
      </c>
      <c r="D28" s="10" t="s">
        <v>122</v>
      </c>
      <c r="E28" s="10" t="s">
        <v>123</v>
      </c>
      <c r="F28" s="10" t="s">
        <v>124</v>
      </c>
      <c r="G28" s="10" t="s">
        <v>125</v>
      </c>
      <c r="H28" s="9" t="s">
        <v>25</v>
      </c>
      <c r="I28" s="9" t="s">
        <v>26</v>
      </c>
      <c r="J28" s="11"/>
      <c r="K28" s="12" t="s">
        <v>27</v>
      </c>
      <c r="L28" s="10" t="s">
        <v>120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39" customHeight="1" x14ac:dyDescent="0.25">
      <c r="A29" s="1"/>
      <c r="B29" s="8" t="s">
        <v>114</v>
      </c>
      <c r="C29" s="9" t="s">
        <v>126</v>
      </c>
      <c r="D29" s="10" t="s">
        <v>127</v>
      </c>
      <c r="E29" s="10" t="s">
        <v>128</v>
      </c>
      <c r="F29" s="10" t="s">
        <v>129</v>
      </c>
      <c r="G29" s="10" t="s">
        <v>130</v>
      </c>
      <c r="H29" s="9" t="s">
        <v>39</v>
      </c>
      <c r="I29" s="9" t="s">
        <v>26</v>
      </c>
      <c r="J29" s="11"/>
      <c r="K29" s="12" t="s">
        <v>27</v>
      </c>
      <c r="L29" s="10" t="s">
        <v>120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39" customHeight="1" x14ac:dyDescent="0.25">
      <c r="A30" s="1"/>
      <c r="B30" s="8" t="s">
        <v>114</v>
      </c>
      <c r="C30" s="9" t="s">
        <v>131</v>
      </c>
      <c r="D30" s="10" t="s">
        <v>132</v>
      </c>
      <c r="E30" s="10" t="s">
        <v>133</v>
      </c>
      <c r="F30" s="10" t="s">
        <v>134</v>
      </c>
      <c r="G30" s="10" t="s">
        <v>135</v>
      </c>
      <c r="H30" s="9" t="s">
        <v>25</v>
      </c>
      <c r="I30" s="9" t="s">
        <v>26</v>
      </c>
      <c r="J30" s="11"/>
      <c r="K30" s="12" t="s">
        <v>27</v>
      </c>
      <c r="L30" s="10" t="s">
        <v>120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39" customHeight="1" x14ac:dyDescent="0.25">
      <c r="A31" s="1"/>
      <c r="B31" s="8" t="s">
        <v>114</v>
      </c>
      <c r="C31" s="9" t="s">
        <v>136</v>
      </c>
      <c r="D31" s="10" t="s">
        <v>137</v>
      </c>
      <c r="E31" s="10" t="s">
        <v>138</v>
      </c>
      <c r="F31" s="10" t="s">
        <v>139</v>
      </c>
      <c r="G31" s="10" t="s">
        <v>140</v>
      </c>
      <c r="H31" s="9" t="s">
        <v>39</v>
      </c>
      <c r="I31" s="9" t="s">
        <v>26</v>
      </c>
      <c r="J31" s="11"/>
      <c r="K31" s="12" t="s">
        <v>27</v>
      </c>
      <c r="L31" s="10" t="s">
        <v>120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65" customHeight="1" x14ac:dyDescent="0.25">
      <c r="A32" s="1"/>
      <c r="B32" s="8" t="s">
        <v>114</v>
      </c>
      <c r="C32" s="9" t="s">
        <v>141</v>
      </c>
      <c r="D32" s="10" t="s">
        <v>142</v>
      </c>
      <c r="E32" s="10" t="s">
        <v>123</v>
      </c>
      <c r="F32" s="10" t="s">
        <v>143</v>
      </c>
      <c r="G32" s="10" t="s">
        <v>144</v>
      </c>
      <c r="H32" s="9" t="s">
        <v>25</v>
      </c>
      <c r="I32" s="9" t="s">
        <v>26</v>
      </c>
      <c r="J32" s="11"/>
      <c r="K32" s="12" t="s">
        <v>27</v>
      </c>
      <c r="L32" s="10" t="s">
        <v>145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39" customHeight="1" x14ac:dyDescent="0.25">
      <c r="A33" s="1"/>
      <c r="B33" s="8" t="s">
        <v>114</v>
      </c>
      <c r="C33" s="9" t="s">
        <v>146</v>
      </c>
      <c r="D33" s="10" t="s">
        <v>147</v>
      </c>
      <c r="E33" s="10" t="s">
        <v>123</v>
      </c>
      <c r="F33" s="10" t="s">
        <v>148</v>
      </c>
      <c r="G33" s="10" t="s">
        <v>149</v>
      </c>
      <c r="H33" s="9" t="s">
        <v>39</v>
      </c>
      <c r="I33" s="9" t="s">
        <v>26</v>
      </c>
      <c r="J33" s="11"/>
      <c r="K33" s="12" t="s">
        <v>27</v>
      </c>
      <c r="L33" s="10" t="s">
        <v>145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52" customHeight="1" x14ac:dyDescent="0.25">
      <c r="A34" s="1"/>
      <c r="B34" s="8" t="s">
        <v>114</v>
      </c>
      <c r="C34" s="9" t="s">
        <v>150</v>
      </c>
      <c r="D34" s="10" t="s">
        <v>151</v>
      </c>
      <c r="E34" s="10" t="s">
        <v>123</v>
      </c>
      <c r="F34" s="10" t="s">
        <v>152</v>
      </c>
      <c r="G34" s="10" t="s">
        <v>153</v>
      </c>
      <c r="H34" s="9" t="s">
        <v>39</v>
      </c>
      <c r="I34" s="9" t="s">
        <v>26</v>
      </c>
      <c r="J34" s="11"/>
      <c r="K34" s="12" t="s">
        <v>27</v>
      </c>
      <c r="L34" s="10" t="s">
        <v>145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39" customHeight="1" x14ac:dyDescent="0.25">
      <c r="A35" s="1"/>
      <c r="B35" s="8" t="s">
        <v>114</v>
      </c>
      <c r="C35" s="9" t="s">
        <v>154</v>
      </c>
      <c r="D35" s="10" t="s">
        <v>155</v>
      </c>
      <c r="E35" s="10" t="s">
        <v>123</v>
      </c>
      <c r="F35" s="10" t="s">
        <v>156</v>
      </c>
      <c r="G35" s="10" t="s">
        <v>157</v>
      </c>
      <c r="H35" s="9" t="s">
        <v>39</v>
      </c>
      <c r="I35" s="9" t="s">
        <v>26</v>
      </c>
      <c r="J35" s="11"/>
      <c r="K35" s="12" t="s">
        <v>27</v>
      </c>
      <c r="L35" s="10" t="s">
        <v>145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39" customHeight="1" x14ac:dyDescent="0.25">
      <c r="A36" s="1"/>
      <c r="B36" s="8" t="s">
        <v>114</v>
      </c>
      <c r="C36" s="9" t="s">
        <v>158</v>
      </c>
      <c r="D36" s="10" t="s">
        <v>159</v>
      </c>
      <c r="E36" s="10" t="s">
        <v>123</v>
      </c>
      <c r="F36" s="10" t="s">
        <v>160</v>
      </c>
      <c r="G36" s="10" t="s">
        <v>161</v>
      </c>
      <c r="H36" s="9" t="s">
        <v>25</v>
      </c>
      <c r="I36" s="9" t="s">
        <v>26</v>
      </c>
      <c r="J36" s="11"/>
      <c r="K36" s="12" t="s">
        <v>27</v>
      </c>
      <c r="L36" s="10" t="s">
        <v>162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39" customHeight="1" x14ac:dyDescent="0.25">
      <c r="A37" s="1"/>
      <c r="B37" s="8" t="s">
        <v>114</v>
      </c>
      <c r="C37" s="9" t="s">
        <v>163</v>
      </c>
      <c r="D37" s="10" t="s">
        <v>164</v>
      </c>
      <c r="E37" s="10" t="s">
        <v>123</v>
      </c>
      <c r="F37" s="10" t="s">
        <v>165</v>
      </c>
      <c r="G37" s="10" t="s">
        <v>166</v>
      </c>
      <c r="H37" s="9" t="s">
        <v>39</v>
      </c>
      <c r="I37" s="9" t="s">
        <v>26</v>
      </c>
      <c r="J37" s="11"/>
      <c r="K37" s="12" t="s">
        <v>27</v>
      </c>
      <c r="L37" s="10" t="s">
        <v>162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30" customHeight="1" x14ac:dyDescent="0.25">
      <c r="A38" s="1"/>
      <c r="B38" s="8" t="s">
        <v>114</v>
      </c>
      <c r="C38" s="9" t="s">
        <v>167</v>
      </c>
      <c r="D38" s="10" t="s">
        <v>168</v>
      </c>
      <c r="E38" s="10" t="s">
        <v>123</v>
      </c>
      <c r="F38" s="10" t="s">
        <v>169</v>
      </c>
      <c r="G38" s="10" t="s">
        <v>170</v>
      </c>
      <c r="H38" s="9" t="s">
        <v>25</v>
      </c>
      <c r="I38" s="9" t="s">
        <v>26</v>
      </c>
      <c r="J38" s="11"/>
      <c r="K38" s="12" t="s">
        <v>27</v>
      </c>
      <c r="L38" s="10" t="s">
        <v>162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52" customHeight="1" x14ac:dyDescent="0.25">
      <c r="A39" s="1"/>
      <c r="B39" s="8" t="s">
        <v>114</v>
      </c>
      <c r="C39" s="9" t="s">
        <v>171</v>
      </c>
      <c r="D39" s="10" t="s">
        <v>172</v>
      </c>
      <c r="E39" s="10" t="s">
        <v>123</v>
      </c>
      <c r="F39" s="10" t="s">
        <v>173</v>
      </c>
      <c r="G39" s="10" t="s">
        <v>174</v>
      </c>
      <c r="H39" s="9" t="s">
        <v>25</v>
      </c>
      <c r="I39" s="9" t="s">
        <v>26</v>
      </c>
      <c r="J39" s="11"/>
      <c r="K39" s="12" t="s">
        <v>27</v>
      </c>
      <c r="L39" s="10" t="s">
        <v>162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 x14ac:dyDescent="0.25">
      <c r="A40" s="1"/>
      <c r="B40" s="8" t="s">
        <v>114</v>
      </c>
      <c r="C40" s="9" t="s">
        <v>175</v>
      </c>
      <c r="D40" s="10" t="s">
        <v>176</v>
      </c>
      <c r="E40" s="10" t="s">
        <v>123</v>
      </c>
      <c r="F40" s="10" t="s">
        <v>177</v>
      </c>
      <c r="G40" s="10" t="s">
        <v>178</v>
      </c>
      <c r="H40" s="9" t="s">
        <v>39</v>
      </c>
      <c r="I40" s="9" t="s">
        <v>26</v>
      </c>
      <c r="J40" s="11"/>
      <c r="K40" s="12" t="s">
        <v>27</v>
      </c>
      <c r="L40" s="10" t="s">
        <v>162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39" customHeight="1" x14ac:dyDescent="0.25">
      <c r="A41" s="1"/>
      <c r="B41" s="8" t="s">
        <v>114</v>
      </c>
      <c r="C41" s="9" t="s">
        <v>179</v>
      </c>
      <c r="D41" s="10" t="s">
        <v>180</v>
      </c>
      <c r="E41" s="10" t="s">
        <v>123</v>
      </c>
      <c r="F41" s="10" t="s">
        <v>181</v>
      </c>
      <c r="G41" s="10" t="s">
        <v>182</v>
      </c>
      <c r="H41" s="9" t="s">
        <v>39</v>
      </c>
      <c r="I41" s="9" t="s">
        <v>26</v>
      </c>
      <c r="J41" s="11"/>
      <c r="K41" s="12" t="s">
        <v>27</v>
      </c>
      <c r="L41" s="10" t="s">
        <v>162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39" customHeight="1" x14ac:dyDescent="0.25">
      <c r="A42" s="1"/>
      <c r="B42" s="8" t="s">
        <v>114</v>
      </c>
      <c r="C42" s="9" t="s">
        <v>183</v>
      </c>
      <c r="D42" s="10" t="s">
        <v>184</v>
      </c>
      <c r="E42" s="10" t="s">
        <v>185</v>
      </c>
      <c r="F42" s="10" t="s">
        <v>186</v>
      </c>
      <c r="G42" s="10" t="s">
        <v>187</v>
      </c>
      <c r="H42" s="9" t="s">
        <v>56</v>
      </c>
      <c r="I42" s="9" t="s">
        <v>26</v>
      </c>
      <c r="J42" s="11"/>
      <c r="K42" s="12" t="s">
        <v>27</v>
      </c>
      <c r="L42" s="10" t="s">
        <v>162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65" customHeight="1" x14ac:dyDescent="0.25">
      <c r="A43" s="1"/>
      <c r="B43" s="8" t="s">
        <v>114</v>
      </c>
      <c r="C43" s="9" t="s">
        <v>188</v>
      </c>
      <c r="D43" s="10" t="s">
        <v>189</v>
      </c>
      <c r="E43" s="10" t="s">
        <v>123</v>
      </c>
      <c r="F43" s="10" t="s">
        <v>190</v>
      </c>
      <c r="G43" s="10" t="s">
        <v>191</v>
      </c>
      <c r="H43" s="9" t="s">
        <v>25</v>
      </c>
      <c r="I43" s="9" t="s">
        <v>26</v>
      </c>
      <c r="J43" s="11"/>
      <c r="K43" s="12" t="s">
        <v>27</v>
      </c>
      <c r="L43" s="10" t="s">
        <v>192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39" customHeight="1" x14ac:dyDescent="0.25">
      <c r="A44" s="1"/>
      <c r="B44" s="8" t="s">
        <v>114</v>
      </c>
      <c r="C44" s="9" t="s">
        <v>193</v>
      </c>
      <c r="D44" s="10" t="s">
        <v>194</v>
      </c>
      <c r="E44" s="10" t="s">
        <v>195</v>
      </c>
      <c r="F44" s="10" t="s">
        <v>196</v>
      </c>
      <c r="G44" s="10" t="s">
        <v>197</v>
      </c>
      <c r="H44" s="9" t="s">
        <v>25</v>
      </c>
      <c r="I44" s="9" t="s">
        <v>26</v>
      </c>
      <c r="J44" s="11"/>
      <c r="K44" s="12" t="s">
        <v>27</v>
      </c>
      <c r="L44" s="10" t="s">
        <v>192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39" customHeight="1" x14ac:dyDescent="0.25">
      <c r="A45" s="1"/>
      <c r="B45" s="8" t="s">
        <v>114</v>
      </c>
      <c r="C45" s="9" t="s">
        <v>198</v>
      </c>
      <c r="D45" s="10" t="s">
        <v>199</v>
      </c>
      <c r="E45" s="10" t="s">
        <v>200</v>
      </c>
      <c r="F45" s="10" t="s">
        <v>201</v>
      </c>
      <c r="G45" s="10" t="s">
        <v>202</v>
      </c>
      <c r="H45" s="9" t="s">
        <v>25</v>
      </c>
      <c r="I45" s="9" t="s">
        <v>26</v>
      </c>
      <c r="J45" s="11"/>
      <c r="K45" s="12" t="s">
        <v>27</v>
      </c>
      <c r="L45" s="10" t="s">
        <v>192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39" customHeight="1" x14ac:dyDescent="0.25">
      <c r="A46" s="1"/>
      <c r="B46" s="8" t="s">
        <v>114</v>
      </c>
      <c r="C46" s="9" t="s">
        <v>203</v>
      </c>
      <c r="D46" s="10" t="s">
        <v>204</v>
      </c>
      <c r="E46" s="10" t="s">
        <v>205</v>
      </c>
      <c r="F46" s="10" t="s">
        <v>206</v>
      </c>
      <c r="G46" s="10" t="s">
        <v>207</v>
      </c>
      <c r="H46" s="9" t="s">
        <v>39</v>
      </c>
      <c r="I46" s="9" t="s">
        <v>26</v>
      </c>
      <c r="J46" s="11"/>
      <c r="K46" s="12" t="s">
        <v>27</v>
      </c>
      <c r="L46" s="10" t="s">
        <v>192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30" customHeight="1" x14ac:dyDescent="0.25">
      <c r="A47" s="1"/>
      <c r="B47" s="8" t="s">
        <v>114</v>
      </c>
      <c r="C47" s="9" t="s">
        <v>208</v>
      </c>
      <c r="D47" s="10" t="s">
        <v>209</v>
      </c>
      <c r="E47" s="10" t="s">
        <v>36</v>
      </c>
      <c r="F47" s="10" t="s">
        <v>210</v>
      </c>
      <c r="G47" s="10" t="s">
        <v>211</v>
      </c>
      <c r="H47" s="9" t="s">
        <v>56</v>
      </c>
      <c r="I47" s="9" t="s">
        <v>26</v>
      </c>
      <c r="J47" s="11"/>
      <c r="K47" s="12" t="s">
        <v>27</v>
      </c>
      <c r="L47" s="10" t="s">
        <v>192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65" customHeight="1" x14ac:dyDescent="0.25">
      <c r="A48" s="1"/>
      <c r="B48" s="8" t="s">
        <v>212</v>
      </c>
      <c r="C48" s="9" t="s">
        <v>213</v>
      </c>
      <c r="D48" s="10" t="s">
        <v>214</v>
      </c>
      <c r="E48" s="10" t="s">
        <v>215</v>
      </c>
      <c r="F48" s="10" t="s">
        <v>216</v>
      </c>
      <c r="G48" s="10" t="s">
        <v>217</v>
      </c>
      <c r="H48" s="9" t="s">
        <v>25</v>
      </c>
      <c r="I48" s="9" t="s">
        <v>26</v>
      </c>
      <c r="J48" s="11"/>
      <c r="K48" s="12" t="s">
        <v>27</v>
      </c>
      <c r="L48" s="10" t="s">
        <v>218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39" customHeight="1" x14ac:dyDescent="0.25">
      <c r="A49" s="1"/>
      <c r="B49" s="8" t="s">
        <v>212</v>
      </c>
      <c r="C49" s="9" t="s">
        <v>219</v>
      </c>
      <c r="D49" s="10" t="s">
        <v>220</v>
      </c>
      <c r="E49" s="10" t="s">
        <v>221</v>
      </c>
      <c r="F49" s="10" t="s">
        <v>222</v>
      </c>
      <c r="G49" s="10" t="s">
        <v>223</v>
      </c>
      <c r="H49" s="9" t="s">
        <v>25</v>
      </c>
      <c r="I49" s="9" t="s">
        <v>26</v>
      </c>
      <c r="J49" s="11"/>
      <c r="K49" s="12" t="s">
        <v>27</v>
      </c>
      <c r="L49" s="10" t="s">
        <v>224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65" customHeight="1" x14ac:dyDescent="0.25">
      <c r="A50" s="1"/>
      <c r="B50" s="8" t="s">
        <v>212</v>
      </c>
      <c r="C50" s="9" t="s">
        <v>225</v>
      </c>
      <c r="D50" s="10" t="s">
        <v>226</v>
      </c>
      <c r="E50" s="10" t="s">
        <v>215</v>
      </c>
      <c r="F50" s="10" t="s">
        <v>227</v>
      </c>
      <c r="G50" s="10" t="s">
        <v>228</v>
      </c>
      <c r="H50" s="9" t="s">
        <v>39</v>
      </c>
      <c r="I50" s="9" t="s">
        <v>26</v>
      </c>
      <c r="J50" s="11"/>
      <c r="K50" s="12" t="s">
        <v>27</v>
      </c>
      <c r="L50" s="10" t="s">
        <v>224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52" customHeight="1" x14ac:dyDescent="0.25">
      <c r="A51" s="1"/>
      <c r="B51" s="8" t="s">
        <v>212</v>
      </c>
      <c r="C51" s="9" t="s">
        <v>229</v>
      </c>
      <c r="D51" s="10" t="s">
        <v>230</v>
      </c>
      <c r="E51" s="10" t="s">
        <v>231</v>
      </c>
      <c r="F51" s="10" t="s">
        <v>232</v>
      </c>
      <c r="G51" s="10" t="s">
        <v>233</v>
      </c>
      <c r="H51" s="9" t="s">
        <v>25</v>
      </c>
      <c r="I51" s="9" t="s">
        <v>26</v>
      </c>
      <c r="J51" s="11"/>
      <c r="K51" s="12" t="s">
        <v>27</v>
      </c>
      <c r="L51" s="10" t="s">
        <v>224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30" customHeight="1" x14ac:dyDescent="0.25">
      <c r="A52" s="1"/>
      <c r="B52" s="8" t="s">
        <v>212</v>
      </c>
      <c r="C52" s="9" t="s">
        <v>234</v>
      </c>
      <c r="D52" s="10" t="s">
        <v>235</v>
      </c>
      <c r="E52" s="10" t="s">
        <v>236</v>
      </c>
      <c r="F52" s="10" t="s">
        <v>237</v>
      </c>
      <c r="G52" s="10" t="s">
        <v>238</v>
      </c>
      <c r="H52" s="9" t="s">
        <v>39</v>
      </c>
      <c r="I52" s="9" t="s">
        <v>26</v>
      </c>
      <c r="J52" s="11"/>
      <c r="K52" s="12" t="s">
        <v>27</v>
      </c>
      <c r="L52" s="10" t="s">
        <v>224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30" customHeight="1" x14ac:dyDescent="0.25">
      <c r="A53" s="1"/>
      <c r="B53" s="8" t="s">
        <v>212</v>
      </c>
      <c r="C53" s="9" t="s">
        <v>239</v>
      </c>
      <c r="D53" s="10" t="s">
        <v>240</v>
      </c>
      <c r="E53" s="10" t="s">
        <v>36</v>
      </c>
      <c r="F53" s="10" t="s">
        <v>241</v>
      </c>
      <c r="G53" s="10" t="s">
        <v>242</v>
      </c>
      <c r="H53" s="9" t="s">
        <v>39</v>
      </c>
      <c r="I53" s="9" t="s">
        <v>26</v>
      </c>
      <c r="J53" s="11"/>
      <c r="K53" s="12" t="s">
        <v>27</v>
      </c>
      <c r="L53" s="10" t="s">
        <v>224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52" customHeight="1" x14ac:dyDescent="0.25">
      <c r="A54" s="1"/>
      <c r="B54" s="8" t="s">
        <v>212</v>
      </c>
      <c r="C54" s="9" t="s">
        <v>243</v>
      </c>
      <c r="D54" s="10" t="s">
        <v>244</v>
      </c>
      <c r="E54" s="10" t="s">
        <v>245</v>
      </c>
      <c r="F54" s="10" t="s">
        <v>246</v>
      </c>
      <c r="G54" s="10" t="s">
        <v>247</v>
      </c>
      <c r="H54" s="9" t="s">
        <v>25</v>
      </c>
      <c r="I54" s="9" t="s">
        <v>26</v>
      </c>
      <c r="J54" s="11"/>
      <c r="K54" s="12" t="s">
        <v>27</v>
      </c>
      <c r="L54" s="10" t="s">
        <v>248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30" customHeight="1" x14ac:dyDescent="0.25">
      <c r="A55" s="1"/>
      <c r="B55" s="8" t="s">
        <v>212</v>
      </c>
      <c r="C55" s="9" t="s">
        <v>249</v>
      </c>
      <c r="D55" s="10" t="s">
        <v>250</v>
      </c>
      <c r="E55" s="10" t="s">
        <v>245</v>
      </c>
      <c r="F55" s="10" t="s">
        <v>251</v>
      </c>
      <c r="G55" s="10" t="s">
        <v>252</v>
      </c>
      <c r="H55" s="9" t="s">
        <v>25</v>
      </c>
      <c r="I55" s="9" t="s">
        <v>26</v>
      </c>
      <c r="J55" s="11"/>
      <c r="K55" s="12" t="s">
        <v>27</v>
      </c>
      <c r="L55" s="10" t="s">
        <v>248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39" customHeight="1" x14ac:dyDescent="0.25">
      <c r="A56" s="1"/>
      <c r="B56" s="8" t="s">
        <v>212</v>
      </c>
      <c r="C56" s="9" t="s">
        <v>253</v>
      </c>
      <c r="D56" s="10" t="s">
        <v>254</v>
      </c>
      <c r="E56" s="10" t="s">
        <v>255</v>
      </c>
      <c r="F56" s="10" t="s">
        <v>256</v>
      </c>
      <c r="G56" s="10" t="s">
        <v>257</v>
      </c>
      <c r="H56" s="9" t="s">
        <v>39</v>
      </c>
      <c r="I56" s="9" t="s">
        <v>26</v>
      </c>
      <c r="J56" s="11"/>
      <c r="K56" s="12" t="s">
        <v>27</v>
      </c>
      <c r="L56" s="10" t="s">
        <v>248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39" customHeight="1" x14ac:dyDescent="0.25">
      <c r="A57" s="1"/>
      <c r="B57" s="8" t="s">
        <v>212</v>
      </c>
      <c r="C57" s="9" t="s">
        <v>258</v>
      </c>
      <c r="D57" s="10" t="s">
        <v>259</v>
      </c>
      <c r="E57" s="10" t="s">
        <v>245</v>
      </c>
      <c r="F57" s="10" t="s">
        <v>260</v>
      </c>
      <c r="G57" s="10" t="s">
        <v>261</v>
      </c>
      <c r="H57" s="9" t="s">
        <v>25</v>
      </c>
      <c r="I57" s="9" t="s">
        <v>26</v>
      </c>
      <c r="J57" s="11"/>
      <c r="K57" s="12" t="s">
        <v>27</v>
      </c>
      <c r="L57" s="10" t="s">
        <v>248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52" customHeight="1" x14ac:dyDescent="0.25">
      <c r="A58" s="1"/>
      <c r="B58" s="8" t="s">
        <v>212</v>
      </c>
      <c r="C58" s="9" t="s">
        <v>262</v>
      </c>
      <c r="D58" s="10" t="s">
        <v>263</v>
      </c>
      <c r="E58" s="10" t="s">
        <v>264</v>
      </c>
      <c r="F58" s="10" t="s">
        <v>265</v>
      </c>
      <c r="G58" s="10" t="s">
        <v>266</v>
      </c>
      <c r="H58" s="9" t="s">
        <v>25</v>
      </c>
      <c r="I58" s="9" t="s">
        <v>26</v>
      </c>
      <c r="J58" s="11"/>
      <c r="K58" s="12" t="s">
        <v>27</v>
      </c>
      <c r="L58" s="10" t="s">
        <v>248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78" customHeight="1" x14ac:dyDescent="0.25">
      <c r="A59" s="1"/>
      <c r="B59" s="8" t="s">
        <v>267</v>
      </c>
      <c r="C59" s="9" t="s">
        <v>268</v>
      </c>
      <c r="D59" s="10" t="s">
        <v>269</v>
      </c>
      <c r="E59" s="10" t="s">
        <v>270</v>
      </c>
      <c r="F59" s="10" t="s">
        <v>271</v>
      </c>
      <c r="G59" s="10" t="s">
        <v>272</v>
      </c>
      <c r="H59" s="9" t="s">
        <v>25</v>
      </c>
      <c r="I59" s="9" t="s">
        <v>26</v>
      </c>
      <c r="J59" s="11"/>
      <c r="K59" s="12" t="s">
        <v>27</v>
      </c>
      <c r="L59" s="10" t="s">
        <v>273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65" customHeight="1" x14ac:dyDescent="0.25">
      <c r="A60" s="1"/>
      <c r="B60" s="8" t="s">
        <v>267</v>
      </c>
      <c r="C60" s="9" t="s">
        <v>274</v>
      </c>
      <c r="D60" s="10" t="s">
        <v>275</v>
      </c>
      <c r="E60" s="10" t="s">
        <v>276</v>
      </c>
      <c r="F60" s="10" t="s">
        <v>277</v>
      </c>
      <c r="G60" s="10" t="s">
        <v>278</v>
      </c>
      <c r="H60" s="9" t="s">
        <v>25</v>
      </c>
      <c r="I60" s="9" t="s">
        <v>26</v>
      </c>
      <c r="J60" s="11"/>
      <c r="K60" s="12" t="s">
        <v>27</v>
      </c>
      <c r="L60" s="10" t="s">
        <v>273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39" customHeight="1" x14ac:dyDescent="0.25">
      <c r="A61" s="1"/>
      <c r="B61" s="8" t="s">
        <v>267</v>
      </c>
      <c r="C61" s="9" t="s">
        <v>279</v>
      </c>
      <c r="D61" s="10" t="s">
        <v>280</v>
      </c>
      <c r="E61" s="10" t="s">
        <v>281</v>
      </c>
      <c r="F61" s="10" t="s">
        <v>282</v>
      </c>
      <c r="G61" s="10" t="s">
        <v>283</v>
      </c>
      <c r="H61" s="9" t="s">
        <v>39</v>
      </c>
      <c r="I61" s="9" t="s">
        <v>26</v>
      </c>
      <c r="J61" s="11"/>
      <c r="K61" s="12" t="s">
        <v>27</v>
      </c>
      <c r="L61" s="10" t="s">
        <v>273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78" customHeight="1" x14ac:dyDescent="0.25">
      <c r="A62" s="1"/>
      <c r="B62" s="8" t="s">
        <v>267</v>
      </c>
      <c r="C62" s="9" t="s">
        <v>284</v>
      </c>
      <c r="D62" s="10" t="s">
        <v>285</v>
      </c>
      <c r="E62" s="10" t="s">
        <v>286</v>
      </c>
      <c r="F62" s="10" t="s">
        <v>287</v>
      </c>
      <c r="G62" s="10" t="s">
        <v>288</v>
      </c>
      <c r="H62" s="9" t="s">
        <v>25</v>
      </c>
      <c r="I62" s="9" t="s">
        <v>26</v>
      </c>
      <c r="J62" s="11"/>
      <c r="K62" s="12" t="s">
        <v>27</v>
      </c>
      <c r="L62" s="10" t="s">
        <v>289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39" customHeight="1" x14ac:dyDescent="0.25">
      <c r="A63" s="1"/>
      <c r="B63" s="8" t="s">
        <v>267</v>
      </c>
      <c r="C63" s="9" t="s">
        <v>290</v>
      </c>
      <c r="D63" s="10" t="s">
        <v>291</v>
      </c>
      <c r="E63" s="10" t="s">
        <v>292</v>
      </c>
      <c r="F63" s="10" t="s">
        <v>293</v>
      </c>
      <c r="G63" s="10" t="s">
        <v>294</v>
      </c>
      <c r="H63" s="9" t="s">
        <v>39</v>
      </c>
      <c r="I63" s="9" t="s">
        <v>26</v>
      </c>
      <c r="J63" s="11"/>
      <c r="K63" s="12" t="s">
        <v>27</v>
      </c>
      <c r="L63" s="10" t="s">
        <v>289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39" customHeight="1" x14ac:dyDescent="0.25">
      <c r="A64" s="1"/>
      <c r="B64" s="8" t="s">
        <v>267</v>
      </c>
      <c r="C64" s="9" t="s">
        <v>295</v>
      </c>
      <c r="D64" s="10" t="s">
        <v>296</v>
      </c>
      <c r="E64" s="10" t="s">
        <v>297</v>
      </c>
      <c r="F64" s="10" t="s">
        <v>298</v>
      </c>
      <c r="G64" s="10" t="s">
        <v>299</v>
      </c>
      <c r="H64" s="9" t="s">
        <v>25</v>
      </c>
      <c r="I64" s="9" t="s">
        <v>26</v>
      </c>
      <c r="J64" s="11"/>
      <c r="K64" s="12" t="s">
        <v>27</v>
      </c>
      <c r="L64" s="10" t="s">
        <v>289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52" customHeight="1" x14ac:dyDescent="0.25">
      <c r="A65" s="1"/>
      <c r="B65" s="8" t="s">
        <v>267</v>
      </c>
      <c r="C65" s="9" t="s">
        <v>300</v>
      </c>
      <c r="D65" s="10" t="s">
        <v>301</v>
      </c>
      <c r="E65" s="10" t="s">
        <v>302</v>
      </c>
      <c r="F65" s="10" t="s">
        <v>303</v>
      </c>
      <c r="G65" s="10" t="s">
        <v>304</v>
      </c>
      <c r="H65" s="9" t="s">
        <v>25</v>
      </c>
      <c r="I65" s="9" t="s">
        <v>26</v>
      </c>
      <c r="J65" s="11"/>
      <c r="K65" s="12" t="s">
        <v>27</v>
      </c>
      <c r="L65" s="10" t="s">
        <v>289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65" customHeight="1" x14ac:dyDescent="0.25">
      <c r="A66" s="1"/>
      <c r="B66" s="8" t="s">
        <v>267</v>
      </c>
      <c r="C66" s="9" t="s">
        <v>305</v>
      </c>
      <c r="D66" s="10" t="s">
        <v>306</v>
      </c>
      <c r="E66" s="10" t="s">
        <v>307</v>
      </c>
      <c r="F66" s="10" t="s">
        <v>308</v>
      </c>
      <c r="G66" s="10" t="s">
        <v>309</v>
      </c>
      <c r="H66" s="9" t="s">
        <v>25</v>
      </c>
      <c r="I66" s="9" t="s">
        <v>26</v>
      </c>
      <c r="J66" s="11"/>
      <c r="K66" s="12" t="s">
        <v>27</v>
      </c>
      <c r="L66" s="10" t="s">
        <v>289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52" customHeight="1" x14ac:dyDescent="0.25">
      <c r="A67" s="1"/>
      <c r="B67" s="8" t="s">
        <v>267</v>
      </c>
      <c r="C67" s="9" t="s">
        <v>310</v>
      </c>
      <c r="D67" s="10" t="s">
        <v>311</v>
      </c>
      <c r="E67" s="10" t="s">
        <v>312</v>
      </c>
      <c r="F67" s="10" t="s">
        <v>313</v>
      </c>
      <c r="G67" s="10" t="s">
        <v>314</v>
      </c>
      <c r="H67" s="9" t="s">
        <v>25</v>
      </c>
      <c r="I67" s="9" t="s">
        <v>26</v>
      </c>
      <c r="J67" s="11"/>
      <c r="K67" s="12" t="s">
        <v>27</v>
      </c>
      <c r="L67" s="10" t="s">
        <v>289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39" customHeight="1" x14ac:dyDescent="0.25">
      <c r="A68" s="1"/>
      <c r="B68" s="8" t="s">
        <v>267</v>
      </c>
      <c r="C68" s="9" t="s">
        <v>315</v>
      </c>
      <c r="D68" s="10" t="s">
        <v>316</v>
      </c>
      <c r="E68" s="10" t="s">
        <v>317</v>
      </c>
      <c r="F68" s="10" t="s">
        <v>318</v>
      </c>
      <c r="G68" s="10" t="s">
        <v>319</v>
      </c>
      <c r="H68" s="9" t="s">
        <v>39</v>
      </c>
      <c r="I68" s="9" t="s">
        <v>26</v>
      </c>
      <c r="J68" s="11"/>
      <c r="K68" s="12" t="s">
        <v>27</v>
      </c>
      <c r="L68" s="10" t="s">
        <v>289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52" customHeight="1" x14ac:dyDescent="0.25">
      <c r="A69" s="1"/>
      <c r="B69" s="8" t="s">
        <v>267</v>
      </c>
      <c r="C69" s="9" t="s">
        <v>320</v>
      </c>
      <c r="D69" s="10" t="s">
        <v>321</v>
      </c>
      <c r="E69" s="10" t="s">
        <v>322</v>
      </c>
      <c r="F69" s="10" t="s">
        <v>323</v>
      </c>
      <c r="G69" s="10" t="s">
        <v>324</v>
      </c>
      <c r="H69" s="9" t="s">
        <v>39</v>
      </c>
      <c r="I69" s="9" t="s">
        <v>26</v>
      </c>
      <c r="J69" s="11"/>
      <c r="K69" s="12" t="s">
        <v>27</v>
      </c>
      <c r="L69" s="10" t="s">
        <v>289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52" customHeight="1" x14ac:dyDescent="0.25">
      <c r="A70" s="1"/>
      <c r="B70" s="8" t="s">
        <v>267</v>
      </c>
      <c r="C70" s="9" t="s">
        <v>325</v>
      </c>
      <c r="D70" s="10" t="s">
        <v>326</v>
      </c>
      <c r="E70" s="10" t="s">
        <v>215</v>
      </c>
      <c r="F70" s="10" t="s">
        <v>327</v>
      </c>
      <c r="G70" s="10" t="s">
        <v>328</v>
      </c>
      <c r="H70" s="9" t="s">
        <v>25</v>
      </c>
      <c r="I70" s="9" t="s">
        <v>26</v>
      </c>
      <c r="J70" s="11"/>
      <c r="K70" s="12" t="s">
        <v>27</v>
      </c>
      <c r="L70" s="10" t="s">
        <v>329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52" customHeight="1" x14ac:dyDescent="0.25">
      <c r="A71" s="1"/>
      <c r="B71" s="8" t="s">
        <v>267</v>
      </c>
      <c r="C71" s="9" t="s">
        <v>330</v>
      </c>
      <c r="D71" s="10" t="s">
        <v>331</v>
      </c>
      <c r="E71" s="10" t="s">
        <v>215</v>
      </c>
      <c r="F71" s="10" t="s">
        <v>332</v>
      </c>
      <c r="G71" s="10" t="s">
        <v>333</v>
      </c>
      <c r="H71" s="9" t="s">
        <v>25</v>
      </c>
      <c r="I71" s="9" t="s">
        <v>26</v>
      </c>
      <c r="J71" s="11"/>
      <c r="K71" s="12" t="s">
        <v>27</v>
      </c>
      <c r="L71" s="10" t="s">
        <v>329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52" customHeight="1" x14ac:dyDescent="0.25">
      <c r="A72" s="1"/>
      <c r="B72" s="8" t="s">
        <v>267</v>
      </c>
      <c r="C72" s="9" t="s">
        <v>334</v>
      </c>
      <c r="D72" s="10" t="s">
        <v>335</v>
      </c>
      <c r="E72" s="10" t="s">
        <v>336</v>
      </c>
      <c r="F72" s="10" t="s">
        <v>337</v>
      </c>
      <c r="G72" s="10" t="s">
        <v>338</v>
      </c>
      <c r="H72" s="9" t="s">
        <v>39</v>
      </c>
      <c r="I72" s="9" t="s">
        <v>26</v>
      </c>
      <c r="J72" s="11"/>
      <c r="K72" s="12" t="s">
        <v>27</v>
      </c>
      <c r="L72" s="10" t="s">
        <v>329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52" customHeight="1" x14ac:dyDescent="0.25">
      <c r="A73" s="1"/>
      <c r="B73" s="8" t="s">
        <v>267</v>
      </c>
      <c r="C73" s="9" t="s">
        <v>339</v>
      </c>
      <c r="D73" s="10" t="s">
        <v>340</v>
      </c>
      <c r="E73" s="10" t="s">
        <v>341</v>
      </c>
      <c r="F73" s="10" t="s">
        <v>342</v>
      </c>
      <c r="G73" s="10" t="s">
        <v>343</v>
      </c>
      <c r="H73" s="9" t="s">
        <v>25</v>
      </c>
      <c r="I73" s="9" t="s">
        <v>26</v>
      </c>
      <c r="J73" s="11"/>
      <c r="K73" s="12" t="s">
        <v>27</v>
      </c>
      <c r="L73" s="10" t="s">
        <v>329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65" customHeight="1" x14ac:dyDescent="0.25">
      <c r="A74" s="1"/>
      <c r="B74" s="8" t="s">
        <v>267</v>
      </c>
      <c r="C74" s="9" t="s">
        <v>344</v>
      </c>
      <c r="D74" s="10" t="s">
        <v>345</v>
      </c>
      <c r="E74" s="10" t="s">
        <v>346</v>
      </c>
      <c r="F74" s="10" t="s">
        <v>347</v>
      </c>
      <c r="G74" s="10" t="s">
        <v>348</v>
      </c>
      <c r="H74" s="9" t="s">
        <v>25</v>
      </c>
      <c r="I74" s="9" t="s">
        <v>26</v>
      </c>
      <c r="J74" s="11"/>
      <c r="K74" s="12" t="s">
        <v>27</v>
      </c>
      <c r="L74" s="10" t="s">
        <v>349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52" customHeight="1" x14ac:dyDescent="0.25">
      <c r="A75" s="1"/>
      <c r="B75" s="8" t="s">
        <v>267</v>
      </c>
      <c r="C75" s="9" t="s">
        <v>350</v>
      </c>
      <c r="D75" s="10" t="s">
        <v>351</v>
      </c>
      <c r="E75" s="10" t="s">
        <v>352</v>
      </c>
      <c r="F75" s="10" t="s">
        <v>353</v>
      </c>
      <c r="G75" s="10" t="s">
        <v>354</v>
      </c>
      <c r="H75" s="9" t="s">
        <v>25</v>
      </c>
      <c r="I75" s="9" t="s">
        <v>26</v>
      </c>
      <c r="J75" s="11"/>
      <c r="K75" s="12" t="s">
        <v>27</v>
      </c>
      <c r="L75" s="10" t="s">
        <v>349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91" customHeight="1" x14ac:dyDescent="0.25">
      <c r="A76" s="1"/>
      <c r="B76" s="8" t="s">
        <v>267</v>
      </c>
      <c r="C76" s="9" t="s">
        <v>355</v>
      </c>
      <c r="D76" s="10" t="s">
        <v>356</v>
      </c>
      <c r="E76" s="10" t="s">
        <v>357</v>
      </c>
      <c r="F76" s="10" t="s">
        <v>358</v>
      </c>
      <c r="G76" s="10" t="s">
        <v>359</v>
      </c>
      <c r="H76" s="9" t="s">
        <v>25</v>
      </c>
      <c r="I76" s="9" t="s">
        <v>26</v>
      </c>
      <c r="J76" s="11"/>
      <c r="K76" s="12" t="s">
        <v>27</v>
      </c>
      <c r="L76" s="10" t="s">
        <v>349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52" customHeight="1" x14ac:dyDescent="0.25">
      <c r="A77" s="1"/>
      <c r="B77" s="8" t="s">
        <v>267</v>
      </c>
      <c r="C77" s="9" t="s">
        <v>360</v>
      </c>
      <c r="D77" s="10" t="s">
        <v>361</v>
      </c>
      <c r="E77" s="10" t="s">
        <v>215</v>
      </c>
      <c r="F77" s="10" t="s">
        <v>362</v>
      </c>
      <c r="G77" s="10" t="s">
        <v>363</v>
      </c>
      <c r="H77" s="9" t="s">
        <v>25</v>
      </c>
      <c r="I77" s="9" t="s">
        <v>26</v>
      </c>
      <c r="J77" s="11"/>
      <c r="K77" s="12" t="s">
        <v>27</v>
      </c>
      <c r="L77" s="10" t="s">
        <v>349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52" customHeight="1" x14ac:dyDescent="0.25">
      <c r="A78" s="1"/>
      <c r="B78" s="8" t="s">
        <v>267</v>
      </c>
      <c r="C78" s="9" t="s">
        <v>364</v>
      </c>
      <c r="D78" s="10" t="s">
        <v>365</v>
      </c>
      <c r="E78" s="10" t="s">
        <v>366</v>
      </c>
      <c r="F78" s="10" t="s">
        <v>367</v>
      </c>
      <c r="G78" s="10" t="s">
        <v>368</v>
      </c>
      <c r="H78" s="9" t="s">
        <v>25</v>
      </c>
      <c r="I78" s="9" t="s">
        <v>26</v>
      </c>
      <c r="J78" s="11"/>
      <c r="K78" s="12" t="s">
        <v>27</v>
      </c>
      <c r="L78" s="10" t="s">
        <v>349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04" customHeight="1" x14ac:dyDescent="0.25">
      <c r="A79" s="1"/>
      <c r="B79" s="8" t="s">
        <v>369</v>
      </c>
      <c r="C79" s="9" t="s">
        <v>370</v>
      </c>
      <c r="D79" s="10" t="s">
        <v>371</v>
      </c>
      <c r="E79" s="10" t="s">
        <v>372</v>
      </c>
      <c r="F79" s="10" t="s">
        <v>373</v>
      </c>
      <c r="G79" s="10" t="s">
        <v>374</v>
      </c>
      <c r="H79" s="9" t="s">
        <v>25</v>
      </c>
      <c r="I79" s="9" t="s">
        <v>26</v>
      </c>
      <c r="J79" s="11"/>
      <c r="K79" s="12" t="s">
        <v>27</v>
      </c>
      <c r="L79" s="10" t="s">
        <v>375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65" customHeight="1" x14ac:dyDescent="0.25">
      <c r="A80" s="1"/>
      <c r="B80" s="8" t="s">
        <v>369</v>
      </c>
      <c r="C80" s="9" t="s">
        <v>376</v>
      </c>
      <c r="D80" s="10" t="s">
        <v>377</v>
      </c>
      <c r="E80" s="10" t="s">
        <v>378</v>
      </c>
      <c r="F80" s="10" t="s">
        <v>379</v>
      </c>
      <c r="G80" s="10" t="s">
        <v>380</v>
      </c>
      <c r="H80" s="9" t="s">
        <v>25</v>
      </c>
      <c r="I80" s="9" t="s">
        <v>26</v>
      </c>
      <c r="J80" s="11"/>
      <c r="K80" s="12" t="s">
        <v>27</v>
      </c>
      <c r="L80" s="10" t="s">
        <v>375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17" customHeight="1" x14ac:dyDescent="0.25">
      <c r="A81" s="1"/>
      <c r="B81" s="8" t="s">
        <v>369</v>
      </c>
      <c r="C81" s="9" t="s">
        <v>381</v>
      </c>
      <c r="D81" s="10" t="s">
        <v>382</v>
      </c>
      <c r="E81" s="10" t="s">
        <v>383</v>
      </c>
      <c r="F81" s="10" t="s">
        <v>384</v>
      </c>
      <c r="G81" s="10" t="s">
        <v>385</v>
      </c>
      <c r="H81" s="9" t="s">
        <v>25</v>
      </c>
      <c r="I81" s="9" t="s">
        <v>26</v>
      </c>
      <c r="J81" s="11"/>
      <c r="K81" s="12" t="s">
        <v>27</v>
      </c>
      <c r="L81" s="10" t="s">
        <v>375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78" customHeight="1" x14ac:dyDescent="0.25">
      <c r="A82" s="1"/>
      <c r="B82" s="8" t="s">
        <v>369</v>
      </c>
      <c r="C82" s="9" t="s">
        <v>386</v>
      </c>
      <c r="D82" s="10" t="s">
        <v>387</v>
      </c>
      <c r="E82" s="10" t="s">
        <v>372</v>
      </c>
      <c r="F82" s="10" t="s">
        <v>388</v>
      </c>
      <c r="G82" s="10" t="s">
        <v>389</v>
      </c>
      <c r="H82" s="9" t="s">
        <v>25</v>
      </c>
      <c r="I82" s="9" t="s">
        <v>26</v>
      </c>
      <c r="J82" s="11"/>
      <c r="K82" s="12" t="s">
        <v>27</v>
      </c>
      <c r="L82" s="10" t="s">
        <v>375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39" customHeight="1" x14ac:dyDescent="0.25">
      <c r="A83" s="1"/>
      <c r="B83" s="8" t="s">
        <v>369</v>
      </c>
      <c r="C83" s="9" t="s">
        <v>390</v>
      </c>
      <c r="D83" s="10" t="s">
        <v>391</v>
      </c>
      <c r="E83" s="10" t="s">
        <v>392</v>
      </c>
      <c r="F83" s="10" t="s">
        <v>393</v>
      </c>
      <c r="G83" s="10" t="s">
        <v>394</v>
      </c>
      <c r="H83" s="9" t="s">
        <v>39</v>
      </c>
      <c r="I83" s="9" t="s">
        <v>26</v>
      </c>
      <c r="J83" s="11"/>
      <c r="K83" s="12" t="s">
        <v>27</v>
      </c>
      <c r="L83" s="10" t="s">
        <v>375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65" customHeight="1" x14ac:dyDescent="0.25">
      <c r="A84" s="1"/>
      <c r="B84" s="8" t="s">
        <v>369</v>
      </c>
      <c r="C84" s="9" t="s">
        <v>395</v>
      </c>
      <c r="D84" s="10" t="s">
        <v>396</v>
      </c>
      <c r="E84" s="10" t="s">
        <v>372</v>
      </c>
      <c r="F84" s="10" t="s">
        <v>397</v>
      </c>
      <c r="G84" s="10" t="s">
        <v>398</v>
      </c>
      <c r="H84" s="9" t="s">
        <v>39</v>
      </c>
      <c r="I84" s="9" t="s">
        <v>26</v>
      </c>
      <c r="J84" s="11"/>
      <c r="K84" s="12" t="s">
        <v>27</v>
      </c>
      <c r="L84" s="10" t="s">
        <v>375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39" customHeight="1" x14ac:dyDescent="0.25">
      <c r="A85" s="1"/>
      <c r="B85" s="8" t="s">
        <v>369</v>
      </c>
      <c r="C85" s="9" t="s">
        <v>399</v>
      </c>
      <c r="D85" s="10" t="s">
        <v>400</v>
      </c>
      <c r="E85" s="10" t="s">
        <v>236</v>
      </c>
      <c r="F85" s="10" t="s">
        <v>401</v>
      </c>
      <c r="G85" s="10" t="s">
        <v>402</v>
      </c>
      <c r="H85" s="9" t="s">
        <v>25</v>
      </c>
      <c r="I85" s="9" t="s">
        <v>26</v>
      </c>
      <c r="J85" s="11"/>
      <c r="K85" s="12" t="s">
        <v>27</v>
      </c>
      <c r="L85" s="10" t="s">
        <v>375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52" customHeight="1" x14ac:dyDescent="0.25">
      <c r="A86" s="1"/>
      <c r="B86" s="8" t="s">
        <v>369</v>
      </c>
      <c r="C86" s="9" t="s">
        <v>403</v>
      </c>
      <c r="D86" s="10" t="s">
        <v>404</v>
      </c>
      <c r="E86" s="10" t="s">
        <v>372</v>
      </c>
      <c r="F86" s="10" t="s">
        <v>405</v>
      </c>
      <c r="G86" s="10" t="s">
        <v>406</v>
      </c>
      <c r="H86" s="9" t="s">
        <v>25</v>
      </c>
      <c r="I86" s="9" t="s">
        <v>26</v>
      </c>
      <c r="J86" s="11"/>
      <c r="K86" s="12" t="s">
        <v>27</v>
      </c>
      <c r="L86" s="10" t="s">
        <v>407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52" customHeight="1" x14ac:dyDescent="0.25">
      <c r="A87" s="1"/>
      <c r="B87" s="8" t="s">
        <v>369</v>
      </c>
      <c r="C87" s="9" t="s">
        <v>408</v>
      </c>
      <c r="D87" s="10" t="s">
        <v>409</v>
      </c>
      <c r="E87" s="10" t="s">
        <v>372</v>
      </c>
      <c r="F87" s="10" t="s">
        <v>410</v>
      </c>
      <c r="G87" s="10" t="s">
        <v>411</v>
      </c>
      <c r="H87" s="9" t="s">
        <v>39</v>
      </c>
      <c r="I87" s="9" t="s">
        <v>26</v>
      </c>
      <c r="J87" s="11"/>
      <c r="K87" s="12" t="s">
        <v>27</v>
      </c>
      <c r="L87" s="10" t="s">
        <v>407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65" customHeight="1" x14ac:dyDescent="0.25">
      <c r="A88" s="1"/>
      <c r="B88" s="8" t="s">
        <v>369</v>
      </c>
      <c r="C88" s="9" t="s">
        <v>412</v>
      </c>
      <c r="D88" s="10" t="s">
        <v>413</v>
      </c>
      <c r="E88" s="10" t="s">
        <v>372</v>
      </c>
      <c r="F88" s="10" t="s">
        <v>414</v>
      </c>
      <c r="G88" s="10" t="s">
        <v>415</v>
      </c>
      <c r="H88" s="9" t="s">
        <v>25</v>
      </c>
      <c r="I88" s="9" t="s">
        <v>26</v>
      </c>
      <c r="J88" s="11"/>
      <c r="K88" s="12" t="s">
        <v>27</v>
      </c>
      <c r="L88" s="10" t="s">
        <v>407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78" customHeight="1" x14ac:dyDescent="0.25">
      <c r="A89" s="1"/>
      <c r="B89" s="8" t="s">
        <v>369</v>
      </c>
      <c r="C89" s="9" t="s">
        <v>416</v>
      </c>
      <c r="D89" s="10" t="s">
        <v>417</v>
      </c>
      <c r="E89" s="10" t="s">
        <v>372</v>
      </c>
      <c r="F89" s="10" t="s">
        <v>418</v>
      </c>
      <c r="G89" s="10" t="s">
        <v>419</v>
      </c>
      <c r="H89" s="9" t="s">
        <v>25</v>
      </c>
      <c r="I89" s="9" t="s">
        <v>26</v>
      </c>
      <c r="J89" s="11"/>
      <c r="K89" s="12" t="s">
        <v>27</v>
      </c>
      <c r="L89" s="10" t="s">
        <v>407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65" customHeight="1" x14ac:dyDescent="0.25">
      <c r="A90" s="1"/>
      <c r="B90" s="8" t="s">
        <v>369</v>
      </c>
      <c r="C90" s="9" t="s">
        <v>420</v>
      </c>
      <c r="D90" s="10" t="s">
        <v>421</v>
      </c>
      <c r="E90" s="10" t="s">
        <v>422</v>
      </c>
      <c r="F90" s="10" t="s">
        <v>423</v>
      </c>
      <c r="G90" s="10" t="s">
        <v>424</v>
      </c>
      <c r="H90" s="9" t="s">
        <v>39</v>
      </c>
      <c r="I90" s="9" t="s">
        <v>26</v>
      </c>
      <c r="J90" s="11"/>
      <c r="K90" s="12" t="s">
        <v>27</v>
      </c>
      <c r="L90" s="10" t="s">
        <v>407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78" customHeight="1" x14ac:dyDescent="0.25">
      <c r="A91" s="1"/>
      <c r="B91" s="8" t="s">
        <v>267</v>
      </c>
      <c r="C91" s="9" t="s">
        <v>425</v>
      </c>
      <c r="D91" s="10" t="s">
        <v>426</v>
      </c>
      <c r="E91" s="10" t="s">
        <v>427</v>
      </c>
      <c r="F91" s="10" t="s">
        <v>428</v>
      </c>
      <c r="G91" s="10" t="s">
        <v>429</v>
      </c>
      <c r="H91" s="9" t="s">
        <v>39</v>
      </c>
      <c r="I91" s="9" t="s">
        <v>26</v>
      </c>
      <c r="J91" s="11"/>
      <c r="K91" s="12" t="s">
        <v>27</v>
      </c>
      <c r="L91" s="10" t="s">
        <v>430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52" customHeight="1" x14ac:dyDescent="0.25">
      <c r="A92" s="1"/>
      <c r="B92" s="8" t="s">
        <v>267</v>
      </c>
      <c r="C92" s="9" t="s">
        <v>431</v>
      </c>
      <c r="D92" s="10" t="s">
        <v>432</v>
      </c>
      <c r="E92" s="10" t="s">
        <v>215</v>
      </c>
      <c r="F92" s="10" t="s">
        <v>433</v>
      </c>
      <c r="G92" s="10" t="s">
        <v>434</v>
      </c>
      <c r="H92" s="9" t="s">
        <v>39</v>
      </c>
      <c r="I92" s="9" t="s">
        <v>26</v>
      </c>
      <c r="J92" s="11"/>
      <c r="K92" s="12" t="s">
        <v>27</v>
      </c>
      <c r="L92" s="10" t="s">
        <v>430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91" customHeight="1" x14ac:dyDescent="0.25">
      <c r="A93" s="1"/>
      <c r="B93" s="8" t="s">
        <v>369</v>
      </c>
      <c r="C93" s="9" t="s">
        <v>435</v>
      </c>
      <c r="D93" s="10" t="s">
        <v>436</v>
      </c>
      <c r="E93" s="10" t="s">
        <v>372</v>
      </c>
      <c r="F93" s="10" t="s">
        <v>437</v>
      </c>
      <c r="G93" s="10" t="s">
        <v>438</v>
      </c>
      <c r="H93" s="9" t="s">
        <v>39</v>
      </c>
      <c r="I93" s="9" t="s">
        <v>26</v>
      </c>
      <c r="J93" s="11"/>
      <c r="K93" s="12" t="s">
        <v>27</v>
      </c>
      <c r="L93" s="10" t="s">
        <v>439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91" customHeight="1" x14ac:dyDescent="0.25">
      <c r="A94" s="1"/>
      <c r="B94" s="8" t="s">
        <v>440</v>
      </c>
      <c r="C94" s="9" t="s">
        <v>441</v>
      </c>
      <c r="D94" s="10" t="s">
        <v>442</v>
      </c>
      <c r="E94" s="10" t="s">
        <v>443</v>
      </c>
      <c r="F94" s="10" t="s">
        <v>444</v>
      </c>
      <c r="G94" s="10" t="s">
        <v>445</v>
      </c>
      <c r="H94" s="9" t="s">
        <v>25</v>
      </c>
      <c r="I94" s="9" t="s">
        <v>26</v>
      </c>
      <c r="J94" s="11"/>
      <c r="K94" s="12" t="s">
        <v>27</v>
      </c>
      <c r="L94" s="10" t="s">
        <v>446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30" customHeight="1" x14ac:dyDescent="0.25">
      <c r="A95" s="1"/>
      <c r="B95" s="8" t="s">
        <v>440</v>
      </c>
      <c r="C95" s="9" t="s">
        <v>447</v>
      </c>
      <c r="D95" s="10" t="s">
        <v>448</v>
      </c>
      <c r="E95" s="10" t="s">
        <v>449</v>
      </c>
      <c r="F95" s="10" t="s">
        <v>450</v>
      </c>
      <c r="G95" s="10" t="s">
        <v>451</v>
      </c>
      <c r="H95" s="9" t="s">
        <v>25</v>
      </c>
      <c r="I95" s="9" t="s">
        <v>26</v>
      </c>
      <c r="J95" s="11"/>
      <c r="K95" s="12" t="s">
        <v>27</v>
      </c>
      <c r="L95" s="10" t="s">
        <v>446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52" customHeight="1" x14ac:dyDescent="0.25">
      <c r="A96" s="1"/>
      <c r="B96" s="8" t="s">
        <v>440</v>
      </c>
      <c r="C96" s="9" t="s">
        <v>452</v>
      </c>
      <c r="D96" s="10" t="s">
        <v>453</v>
      </c>
      <c r="E96" s="10" t="s">
        <v>454</v>
      </c>
      <c r="F96" s="10" t="s">
        <v>455</v>
      </c>
      <c r="G96" s="10" t="s">
        <v>456</v>
      </c>
      <c r="H96" s="9" t="s">
        <v>25</v>
      </c>
      <c r="I96" s="9" t="s">
        <v>26</v>
      </c>
      <c r="J96" s="11"/>
      <c r="K96" s="12" t="s">
        <v>27</v>
      </c>
      <c r="L96" s="10" t="s">
        <v>446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39" customHeight="1" x14ac:dyDescent="0.25">
      <c r="A97" s="1"/>
      <c r="B97" s="8" t="s">
        <v>440</v>
      </c>
      <c r="C97" s="9" t="s">
        <v>457</v>
      </c>
      <c r="D97" s="10" t="s">
        <v>458</v>
      </c>
      <c r="E97" s="10" t="s">
        <v>459</v>
      </c>
      <c r="F97" s="10" t="s">
        <v>460</v>
      </c>
      <c r="G97" s="10" t="s">
        <v>461</v>
      </c>
      <c r="H97" s="9" t="s">
        <v>25</v>
      </c>
      <c r="I97" s="9" t="s">
        <v>26</v>
      </c>
      <c r="J97" s="11"/>
      <c r="K97" s="12" t="s">
        <v>27</v>
      </c>
      <c r="L97" s="10" t="s">
        <v>446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39" customHeight="1" x14ac:dyDescent="0.25">
      <c r="A98" s="1"/>
      <c r="B98" s="8" t="s">
        <v>440</v>
      </c>
      <c r="C98" s="9" t="s">
        <v>462</v>
      </c>
      <c r="D98" s="10" t="s">
        <v>463</v>
      </c>
      <c r="E98" s="10" t="s">
        <v>464</v>
      </c>
      <c r="F98" s="10" t="s">
        <v>465</v>
      </c>
      <c r="G98" s="10" t="s">
        <v>466</v>
      </c>
      <c r="H98" s="9" t="s">
        <v>25</v>
      </c>
      <c r="I98" s="9" t="s">
        <v>26</v>
      </c>
      <c r="J98" s="11"/>
      <c r="K98" s="12" t="s">
        <v>27</v>
      </c>
      <c r="L98" s="10" t="s">
        <v>446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52" customHeight="1" x14ac:dyDescent="0.25">
      <c r="A99" s="1"/>
      <c r="B99" s="8" t="s">
        <v>440</v>
      </c>
      <c r="C99" s="9" t="s">
        <v>467</v>
      </c>
      <c r="D99" s="10" t="s">
        <v>468</v>
      </c>
      <c r="E99" s="10" t="s">
        <v>215</v>
      </c>
      <c r="F99" s="10" t="s">
        <v>469</v>
      </c>
      <c r="G99" s="10" t="s">
        <v>470</v>
      </c>
      <c r="H99" s="9" t="s">
        <v>39</v>
      </c>
      <c r="I99" s="9" t="s">
        <v>26</v>
      </c>
      <c r="J99" s="11"/>
      <c r="K99" s="12" t="s">
        <v>27</v>
      </c>
      <c r="L99" s="10" t="s">
        <v>446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52" customHeight="1" x14ac:dyDescent="0.25">
      <c r="A100" s="1"/>
      <c r="B100" s="8" t="s">
        <v>440</v>
      </c>
      <c r="C100" s="9" t="s">
        <v>471</v>
      </c>
      <c r="D100" s="10" t="s">
        <v>472</v>
      </c>
      <c r="E100" s="10" t="s">
        <v>473</v>
      </c>
      <c r="F100" s="10" t="s">
        <v>474</v>
      </c>
      <c r="G100" s="10" t="s">
        <v>475</v>
      </c>
      <c r="H100" s="9" t="s">
        <v>25</v>
      </c>
      <c r="I100" s="9" t="s">
        <v>26</v>
      </c>
      <c r="J100" s="11"/>
      <c r="K100" s="12" t="s">
        <v>27</v>
      </c>
      <c r="L100" s="10" t="s">
        <v>446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52" customHeight="1" x14ac:dyDescent="0.25">
      <c r="A101" s="1"/>
      <c r="B101" s="8" t="s">
        <v>440</v>
      </c>
      <c r="C101" s="9" t="s">
        <v>476</v>
      </c>
      <c r="D101" s="10" t="s">
        <v>477</v>
      </c>
      <c r="E101" s="10" t="s">
        <v>478</v>
      </c>
      <c r="F101" s="10" t="s">
        <v>479</v>
      </c>
      <c r="G101" s="10" t="s">
        <v>480</v>
      </c>
      <c r="H101" s="9" t="s">
        <v>39</v>
      </c>
      <c r="I101" s="9" t="s">
        <v>26</v>
      </c>
      <c r="J101" s="11"/>
      <c r="K101" s="12" t="s">
        <v>27</v>
      </c>
      <c r="L101" s="10" t="s">
        <v>481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52" customHeight="1" x14ac:dyDescent="0.25">
      <c r="A102" s="1"/>
      <c r="B102" s="8" t="s">
        <v>440</v>
      </c>
      <c r="C102" s="9" t="s">
        <v>482</v>
      </c>
      <c r="D102" s="10" t="s">
        <v>483</v>
      </c>
      <c r="E102" s="10" t="s">
        <v>484</v>
      </c>
      <c r="F102" s="10" t="s">
        <v>485</v>
      </c>
      <c r="G102" s="10" t="s">
        <v>486</v>
      </c>
      <c r="H102" s="9" t="s">
        <v>39</v>
      </c>
      <c r="I102" s="9" t="s">
        <v>26</v>
      </c>
      <c r="J102" s="11"/>
      <c r="K102" s="12" t="s">
        <v>27</v>
      </c>
      <c r="L102" s="10" t="s">
        <v>481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30" customHeight="1" x14ac:dyDescent="0.25">
      <c r="A103" s="1"/>
      <c r="B103" s="8" t="s">
        <v>440</v>
      </c>
      <c r="C103" s="9" t="s">
        <v>487</v>
      </c>
      <c r="D103" s="10" t="s">
        <v>488</v>
      </c>
      <c r="E103" s="10" t="s">
        <v>489</v>
      </c>
      <c r="F103" s="10" t="s">
        <v>490</v>
      </c>
      <c r="G103" s="10" t="s">
        <v>491</v>
      </c>
      <c r="H103" s="9" t="s">
        <v>56</v>
      </c>
      <c r="I103" s="9" t="s">
        <v>26</v>
      </c>
      <c r="J103" s="11"/>
      <c r="K103" s="12" t="s">
        <v>27</v>
      </c>
      <c r="L103" s="10" t="s">
        <v>481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39" customHeight="1" x14ac:dyDescent="0.25">
      <c r="A104" s="1"/>
      <c r="B104" s="8" t="s">
        <v>440</v>
      </c>
      <c r="C104" s="9" t="s">
        <v>492</v>
      </c>
      <c r="D104" s="10" t="s">
        <v>493</v>
      </c>
      <c r="E104" s="10" t="s">
        <v>494</v>
      </c>
      <c r="F104" s="10" t="s">
        <v>495</v>
      </c>
      <c r="G104" s="10" t="s">
        <v>496</v>
      </c>
      <c r="H104" s="9" t="s">
        <v>25</v>
      </c>
      <c r="I104" s="9" t="s">
        <v>26</v>
      </c>
      <c r="J104" s="11"/>
      <c r="K104" s="12" t="s">
        <v>27</v>
      </c>
      <c r="L104" s="10" t="s">
        <v>481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52" customHeight="1" x14ac:dyDescent="0.25">
      <c r="A105" s="1"/>
      <c r="B105" s="8" t="s">
        <v>440</v>
      </c>
      <c r="C105" s="9" t="s">
        <v>497</v>
      </c>
      <c r="D105" s="10" t="s">
        <v>498</v>
      </c>
      <c r="E105" s="10" t="s">
        <v>499</v>
      </c>
      <c r="F105" s="10" t="s">
        <v>500</v>
      </c>
      <c r="G105" s="10" t="s">
        <v>501</v>
      </c>
      <c r="H105" s="9" t="s">
        <v>39</v>
      </c>
      <c r="I105" s="9" t="s">
        <v>26</v>
      </c>
      <c r="J105" s="11"/>
      <c r="K105" s="12" t="s">
        <v>27</v>
      </c>
      <c r="L105" s="10" t="s">
        <v>481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65" customHeight="1" x14ac:dyDescent="0.25">
      <c r="A106" s="1"/>
      <c r="B106" s="8" t="s">
        <v>502</v>
      </c>
      <c r="C106" s="9" t="s">
        <v>503</v>
      </c>
      <c r="D106" s="10" t="s">
        <v>504</v>
      </c>
      <c r="E106" s="10" t="s">
        <v>505</v>
      </c>
      <c r="F106" s="10" t="s">
        <v>506</v>
      </c>
      <c r="G106" s="10" t="s">
        <v>507</v>
      </c>
      <c r="H106" s="9" t="s">
        <v>25</v>
      </c>
      <c r="I106" s="9" t="s">
        <v>26</v>
      </c>
      <c r="J106" s="11"/>
      <c r="K106" s="12" t="s">
        <v>27</v>
      </c>
      <c r="L106" s="10" t="s">
        <v>508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39" customHeight="1" x14ac:dyDescent="0.25">
      <c r="A107" s="1"/>
      <c r="B107" s="8" t="s">
        <v>502</v>
      </c>
      <c r="C107" s="9" t="s">
        <v>509</v>
      </c>
      <c r="D107" s="10" t="s">
        <v>510</v>
      </c>
      <c r="E107" s="10" t="s">
        <v>372</v>
      </c>
      <c r="F107" s="10" t="s">
        <v>511</v>
      </c>
      <c r="G107" s="10" t="s">
        <v>512</v>
      </c>
      <c r="H107" s="9" t="s">
        <v>39</v>
      </c>
      <c r="I107" s="9" t="s">
        <v>26</v>
      </c>
      <c r="J107" s="11"/>
      <c r="K107" s="12" t="s">
        <v>27</v>
      </c>
      <c r="L107" s="10" t="s">
        <v>508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65" customHeight="1" x14ac:dyDescent="0.25">
      <c r="A108" s="1"/>
      <c r="B108" s="8" t="s">
        <v>502</v>
      </c>
      <c r="C108" s="9" t="s">
        <v>513</v>
      </c>
      <c r="D108" s="10" t="s">
        <v>514</v>
      </c>
      <c r="E108" s="10" t="s">
        <v>515</v>
      </c>
      <c r="F108" s="10" t="s">
        <v>516</v>
      </c>
      <c r="G108" s="10" t="s">
        <v>517</v>
      </c>
      <c r="H108" s="9" t="s">
        <v>25</v>
      </c>
      <c r="I108" s="9" t="s">
        <v>26</v>
      </c>
      <c r="J108" s="11"/>
      <c r="K108" s="12" t="s">
        <v>27</v>
      </c>
      <c r="L108" s="10" t="s">
        <v>508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39" customHeight="1" x14ac:dyDescent="0.25">
      <c r="A109" s="1"/>
      <c r="B109" s="8" t="s">
        <v>502</v>
      </c>
      <c r="C109" s="9" t="s">
        <v>518</v>
      </c>
      <c r="D109" s="10" t="s">
        <v>519</v>
      </c>
      <c r="E109" s="10" t="s">
        <v>520</v>
      </c>
      <c r="F109" s="10" t="s">
        <v>521</v>
      </c>
      <c r="G109" s="10" t="s">
        <v>522</v>
      </c>
      <c r="H109" s="9" t="s">
        <v>25</v>
      </c>
      <c r="I109" s="9" t="s">
        <v>26</v>
      </c>
      <c r="J109" s="11"/>
      <c r="K109" s="12" t="s">
        <v>27</v>
      </c>
      <c r="L109" s="10" t="s">
        <v>508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78" customHeight="1" x14ac:dyDescent="0.25">
      <c r="A110" s="1"/>
      <c r="B110" s="8" t="s">
        <v>502</v>
      </c>
      <c r="C110" s="9" t="s">
        <v>523</v>
      </c>
      <c r="D110" s="10" t="s">
        <v>524</v>
      </c>
      <c r="E110" s="10" t="s">
        <v>525</v>
      </c>
      <c r="F110" s="10" t="s">
        <v>526</v>
      </c>
      <c r="G110" s="10" t="s">
        <v>527</v>
      </c>
      <c r="H110" s="9" t="s">
        <v>25</v>
      </c>
      <c r="I110" s="9" t="s">
        <v>26</v>
      </c>
      <c r="J110" s="11"/>
      <c r="K110" s="12" t="s">
        <v>27</v>
      </c>
      <c r="L110" s="10" t="s">
        <v>508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65" customHeight="1" x14ac:dyDescent="0.25">
      <c r="A111" s="1"/>
      <c r="B111" s="8" t="s">
        <v>502</v>
      </c>
      <c r="C111" s="9" t="s">
        <v>528</v>
      </c>
      <c r="D111" s="10" t="s">
        <v>529</v>
      </c>
      <c r="E111" s="10" t="s">
        <v>530</v>
      </c>
      <c r="F111" s="10" t="s">
        <v>531</v>
      </c>
      <c r="G111" s="10" t="s">
        <v>532</v>
      </c>
      <c r="H111" s="9" t="s">
        <v>39</v>
      </c>
      <c r="I111" s="9" t="s">
        <v>26</v>
      </c>
      <c r="J111" s="11"/>
      <c r="K111" s="12" t="s">
        <v>27</v>
      </c>
      <c r="L111" s="10" t="s">
        <v>508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04" customHeight="1" x14ac:dyDescent="0.25">
      <c r="A112" s="1"/>
      <c r="B112" s="8" t="s">
        <v>533</v>
      </c>
      <c r="C112" s="9" t="s">
        <v>534</v>
      </c>
      <c r="D112" s="10" t="s">
        <v>535</v>
      </c>
      <c r="E112" s="10" t="s">
        <v>372</v>
      </c>
      <c r="F112" s="10" t="s">
        <v>536</v>
      </c>
      <c r="G112" s="10" t="s">
        <v>537</v>
      </c>
      <c r="H112" s="9" t="s">
        <v>25</v>
      </c>
      <c r="I112" s="9" t="s">
        <v>26</v>
      </c>
      <c r="J112" s="11"/>
      <c r="K112" s="12" t="s">
        <v>27</v>
      </c>
      <c r="L112" s="10" t="s">
        <v>538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39" customHeight="1" x14ac:dyDescent="0.25">
      <c r="A113" s="1"/>
      <c r="B113" s="8" t="s">
        <v>533</v>
      </c>
      <c r="C113" s="9" t="s">
        <v>539</v>
      </c>
      <c r="D113" s="10" t="s">
        <v>540</v>
      </c>
      <c r="E113" s="10" t="s">
        <v>372</v>
      </c>
      <c r="F113" s="10" t="s">
        <v>541</v>
      </c>
      <c r="G113" s="10" t="s">
        <v>542</v>
      </c>
      <c r="H113" s="9" t="s">
        <v>25</v>
      </c>
      <c r="I113" s="9" t="s">
        <v>26</v>
      </c>
      <c r="J113" s="11"/>
      <c r="K113" s="12" t="s">
        <v>27</v>
      </c>
      <c r="L113" s="10" t="s">
        <v>538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39" customHeight="1" x14ac:dyDescent="0.25">
      <c r="A114" s="1"/>
      <c r="B114" s="8" t="s">
        <v>533</v>
      </c>
      <c r="C114" s="9" t="s">
        <v>543</v>
      </c>
      <c r="D114" s="10" t="s">
        <v>544</v>
      </c>
      <c r="E114" s="10" t="s">
        <v>372</v>
      </c>
      <c r="F114" s="10" t="s">
        <v>545</v>
      </c>
      <c r="G114" s="10" t="s">
        <v>546</v>
      </c>
      <c r="H114" s="9" t="s">
        <v>39</v>
      </c>
      <c r="I114" s="9" t="s">
        <v>26</v>
      </c>
      <c r="J114" s="11"/>
      <c r="K114" s="12" t="s">
        <v>27</v>
      </c>
      <c r="L114" s="10" t="s">
        <v>538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65" customHeight="1" x14ac:dyDescent="0.25">
      <c r="A115" s="1"/>
      <c r="B115" s="8" t="s">
        <v>533</v>
      </c>
      <c r="C115" s="9" t="s">
        <v>547</v>
      </c>
      <c r="D115" s="10" t="s">
        <v>548</v>
      </c>
      <c r="E115" s="10" t="s">
        <v>372</v>
      </c>
      <c r="F115" s="10" t="s">
        <v>549</v>
      </c>
      <c r="G115" s="10" t="s">
        <v>550</v>
      </c>
      <c r="H115" s="9" t="s">
        <v>25</v>
      </c>
      <c r="I115" s="9" t="s">
        <v>26</v>
      </c>
      <c r="J115" s="11"/>
      <c r="K115" s="12" t="s">
        <v>27</v>
      </c>
      <c r="L115" s="10" t="s">
        <v>551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65" customHeight="1" x14ac:dyDescent="0.25">
      <c r="A116" s="1"/>
      <c r="B116" s="8" t="s">
        <v>533</v>
      </c>
      <c r="C116" s="9" t="s">
        <v>552</v>
      </c>
      <c r="D116" s="10" t="s">
        <v>553</v>
      </c>
      <c r="E116" s="10" t="s">
        <v>372</v>
      </c>
      <c r="F116" s="10" t="s">
        <v>554</v>
      </c>
      <c r="G116" s="10" t="s">
        <v>555</v>
      </c>
      <c r="H116" s="9" t="s">
        <v>25</v>
      </c>
      <c r="I116" s="9" t="s">
        <v>26</v>
      </c>
      <c r="J116" s="11"/>
      <c r="K116" s="12" t="s">
        <v>27</v>
      </c>
      <c r="L116" s="10" t="s">
        <v>538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78" customHeight="1" x14ac:dyDescent="0.25">
      <c r="A117" s="1"/>
      <c r="B117" s="8" t="s">
        <v>533</v>
      </c>
      <c r="C117" s="9" t="s">
        <v>556</v>
      </c>
      <c r="D117" s="10" t="s">
        <v>557</v>
      </c>
      <c r="E117" s="10" t="s">
        <v>372</v>
      </c>
      <c r="F117" s="10" t="s">
        <v>558</v>
      </c>
      <c r="G117" s="10" t="s">
        <v>559</v>
      </c>
      <c r="H117" s="9" t="s">
        <v>39</v>
      </c>
      <c r="I117" s="9" t="s">
        <v>26</v>
      </c>
      <c r="J117" s="11"/>
      <c r="K117" s="12" t="s">
        <v>27</v>
      </c>
      <c r="L117" s="10" t="s">
        <v>538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39" customHeight="1" x14ac:dyDescent="0.25">
      <c r="A118" s="1"/>
      <c r="B118" s="8" t="s">
        <v>533</v>
      </c>
      <c r="C118" s="9" t="s">
        <v>560</v>
      </c>
      <c r="D118" s="10" t="s">
        <v>561</v>
      </c>
      <c r="E118" s="10" t="s">
        <v>236</v>
      </c>
      <c r="F118" s="10" t="s">
        <v>562</v>
      </c>
      <c r="G118" s="10" t="s">
        <v>563</v>
      </c>
      <c r="H118" s="9" t="s">
        <v>25</v>
      </c>
      <c r="I118" s="9" t="s">
        <v>26</v>
      </c>
      <c r="J118" s="11"/>
      <c r="K118" s="12" t="s">
        <v>27</v>
      </c>
      <c r="L118" s="10" t="s">
        <v>538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65" customHeight="1" x14ac:dyDescent="0.25">
      <c r="A119" s="1"/>
      <c r="B119" s="8" t="s">
        <v>564</v>
      </c>
      <c r="C119" s="9" t="s">
        <v>565</v>
      </c>
      <c r="D119" s="10" t="s">
        <v>566</v>
      </c>
      <c r="E119" s="10" t="s">
        <v>372</v>
      </c>
      <c r="F119" s="10" t="s">
        <v>567</v>
      </c>
      <c r="G119" s="10" t="s">
        <v>568</v>
      </c>
      <c r="H119" s="9" t="s">
        <v>39</v>
      </c>
      <c r="I119" s="9" t="s">
        <v>26</v>
      </c>
      <c r="J119" s="11"/>
      <c r="K119" s="12" t="s">
        <v>27</v>
      </c>
      <c r="L119" s="10" t="s">
        <v>569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52" customHeight="1" x14ac:dyDescent="0.25">
      <c r="A120" s="1"/>
      <c r="B120" s="8" t="s">
        <v>564</v>
      </c>
      <c r="C120" s="9" t="s">
        <v>570</v>
      </c>
      <c r="D120" s="10" t="s">
        <v>571</v>
      </c>
      <c r="E120" s="10" t="s">
        <v>572</v>
      </c>
      <c r="F120" s="10" t="s">
        <v>573</v>
      </c>
      <c r="G120" s="10" t="s">
        <v>574</v>
      </c>
      <c r="H120" s="9" t="s">
        <v>39</v>
      </c>
      <c r="I120" s="9" t="s">
        <v>26</v>
      </c>
      <c r="J120" s="11"/>
      <c r="K120" s="12" t="s">
        <v>27</v>
      </c>
      <c r="L120" s="10" t="s">
        <v>569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39" customHeight="1" x14ac:dyDescent="0.25">
      <c r="A121" s="1"/>
      <c r="B121" s="8" t="s">
        <v>564</v>
      </c>
      <c r="C121" s="9" t="s">
        <v>575</v>
      </c>
      <c r="D121" s="10" t="s">
        <v>576</v>
      </c>
      <c r="E121" s="10" t="s">
        <v>572</v>
      </c>
      <c r="F121" s="10" t="s">
        <v>577</v>
      </c>
      <c r="G121" s="10" t="s">
        <v>578</v>
      </c>
      <c r="H121" s="9" t="s">
        <v>39</v>
      </c>
      <c r="I121" s="9" t="s">
        <v>26</v>
      </c>
      <c r="J121" s="11"/>
      <c r="K121" s="12" t="s">
        <v>27</v>
      </c>
      <c r="L121" s="10" t="s">
        <v>569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52" customHeight="1" x14ac:dyDescent="0.25">
      <c r="A122" s="1"/>
      <c r="B122" s="8" t="s">
        <v>564</v>
      </c>
      <c r="C122" s="9" t="s">
        <v>579</v>
      </c>
      <c r="D122" s="10" t="s">
        <v>580</v>
      </c>
      <c r="E122" s="10" t="s">
        <v>372</v>
      </c>
      <c r="F122" s="10" t="s">
        <v>581</v>
      </c>
      <c r="G122" s="10" t="s">
        <v>582</v>
      </c>
      <c r="H122" s="9" t="s">
        <v>25</v>
      </c>
      <c r="I122" s="9" t="s">
        <v>26</v>
      </c>
      <c r="J122" s="11"/>
      <c r="K122" s="12" t="s">
        <v>27</v>
      </c>
      <c r="L122" s="10" t="s">
        <v>569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39" customHeight="1" x14ac:dyDescent="0.25">
      <c r="A123" s="1"/>
      <c r="B123" s="8" t="s">
        <v>564</v>
      </c>
      <c r="C123" s="9" t="s">
        <v>583</v>
      </c>
      <c r="D123" s="10" t="s">
        <v>584</v>
      </c>
      <c r="E123" s="10" t="s">
        <v>372</v>
      </c>
      <c r="F123" s="10" t="s">
        <v>585</v>
      </c>
      <c r="G123" s="10" t="s">
        <v>586</v>
      </c>
      <c r="H123" s="9" t="s">
        <v>39</v>
      </c>
      <c r="I123" s="9" t="s">
        <v>26</v>
      </c>
      <c r="J123" s="11"/>
      <c r="K123" s="12" t="s">
        <v>27</v>
      </c>
      <c r="L123" s="10" t="s">
        <v>569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52" customHeight="1" x14ac:dyDescent="0.25">
      <c r="A124" s="1"/>
      <c r="B124" s="8" t="s">
        <v>564</v>
      </c>
      <c r="C124" s="9" t="s">
        <v>587</v>
      </c>
      <c r="D124" s="10" t="s">
        <v>588</v>
      </c>
      <c r="E124" s="10" t="s">
        <v>589</v>
      </c>
      <c r="F124" s="10" t="s">
        <v>590</v>
      </c>
      <c r="G124" s="10" t="s">
        <v>591</v>
      </c>
      <c r="H124" s="9" t="s">
        <v>56</v>
      </c>
      <c r="I124" s="9" t="s">
        <v>26</v>
      </c>
      <c r="J124" s="11"/>
      <c r="K124" s="12" t="s">
        <v>27</v>
      </c>
      <c r="L124" s="10" t="s">
        <v>569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65" customHeight="1" x14ac:dyDescent="0.25">
      <c r="A125" s="1"/>
      <c r="B125" s="8" t="s">
        <v>592</v>
      </c>
      <c r="C125" s="9" t="s">
        <v>593</v>
      </c>
      <c r="D125" s="10" t="s">
        <v>594</v>
      </c>
      <c r="E125" s="10" t="s">
        <v>595</v>
      </c>
      <c r="F125" s="10" t="s">
        <v>596</v>
      </c>
      <c r="G125" s="10" t="s">
        <v>597</v>
      </c>
      <c r="H125" s="9" t="s">
        <v>56</v>
      </c>
      <c r="I125" s="9" t="s">
        <v>26</v>
      </c>
      <c r="J125" s="11"/>
      <c r="K125" s="12" t="s">
        <v>27</v>
      </c>
      <c r="L125" s="10" t="s">
        <v>598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65" customHeight="1" x14ac:dyDescent="0.25">
      <c r="A126" s="1"/>
      <c r="B126" s="8" t="s">
        <v>592</v>
      </c>
      <c r="C126" s="9" t="s">
        <v>599</v>
      </c>
      <c r="D126" s="10" t="s">
        <v>600</v>
      </c>
      <c r="E126" s="10" t="s">
        <v>601</v>
      </c>
      <c r="F126" s="10" t="s">
        <v>602</v>
      </c>
      <c r="G126" s="10" t="s">
        <v>603</v>
      </c>
      <c r="H126" s="9" t="s">
        <v>56</v>
      </c>
      <c r="I126" s="9" t="s">
        <v>26</v>
      </c>
      <c r="J126" s="11"/>
      <c r="K126" s="12" t="s">
        <v>27</v>
      </c>
      <c r="L126" s="10" t="s">
        <v>598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52" customHeight="1" x14ac:dyDescent="0.25">
      <c r="A127" s="1"/>
      <c r="B127" s="8" t="s">
        <v>592</v>
      </c>
      <c r="C127" s="9" t="s">
        <v>604</v>
      </c>
      <c r="D127" s="10" t="s">
        <v>605</v>
      </c>
      <c r="E127" s="10" t="s">
        <v>372</v>
      </c>
      <c r="F127" s="10" t="s">
        <v>606</v>
      </c>
      <c r="G127" s="10" t="s">
        <v>607</v>
      </c>
      <c r="H127" s="9" t="s">
        <v>56</v>
      </c>
      <c r="I127" s="9" t="s">
        <v>26</v>
      </c>
      <c r="J127" s="11"/>
      <c r="K127" s="12" t="s">
        <v>27</v>
      </c>
      <c r="L127" s="10" t="s">
        <v>598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78" customHeight="1" x14ac:dyDescent="0.25">
      <c r="A128" s="1"/>
      <c r="B128" s="8" t="s">
        <v>592</v>
      </c>
      <c r="C128" s="9" t="s">
        <v>608</v>
      </c>
      <c r="D128" s="10" t="s">
        <v>609</v>
      </c>
      <c r="E128" s="10" t="s">
        <v>123</v>
      </c>
      <c r="F128" s="10" t="s">
        <v>610</v>
      </c>
      <c r="G128" s="10" t="s">
        <v>611</v>
      </c>
      <c r="H128" s="9" t="s">
        <v>56</v>
      </c>
      <c r="I128" s="9" t="s">
        <v>26</v>
      </c>
      <c r="J128" s="11"/>
      <c r="K128" s="12" t="s">
        <v>27</v>
      </c>
      <c r="L128" s="10" t="s">
        <v>598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39" customHeight="1" x14ac:dyDescent="0.25">
      <c r="A129" s="1"/>
      <c r="B129" s="8" t="s">
        <v>592</v>
      </c>
      <c r="C129" s="9" t="s">
        <v>612</v>
      </c>
      <c r="D129" s="10" t="s">
        <v>613</v>
      </c>
      <c r="E129" s="10" t="s">
        <v>614</v>
      </c>
      <c r="F129" s="10" t="s">
        <v>615</v>
      </c>
      <c r="G129" s="10" t="s">
        <v>616</v>
      </c>
      <c r="H129" s="9" t="s">
        <v>56</v>
      </c>
      <c r="I129" s="9" t="s">
        <v>26</v>
      </c>
      <c r="J129" s="11"/>
      <c r="K129" s="12" t="s">
        <v>27</v>
      </c>
      <c r="L129" s="10" t="s">
        <v>598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52" customHeight="1" x14ac:dyDescent="0.25">
      <c r="A130" s="1"/>
      <c r="B130" s="8" t="s">
        <v>617</v>
      </c>
      <c r="C130" s="9" t="s">
        <v>618</v>
      </c>
      <c r="D130" s="10" t="s">
        <v>619</v>
      </c>
      <c r="E130" s="10" t="s">
        <v>620</v>
      </c>
      <c r="F130" s="10" t="s">
        <v>621</v>
      </c>
      <c r="G130" s="10" t="s">
        <v>622</v>
      </c>
      <c r="H130" s="9" t="s">
        <v>25</v>
      </c>
      <c r="I130" s="9" t="s">
        <v>26</v>
      </c>
      <c r="J130" s="11"/>
      <c r="K130" s="12" t="s">
        <v>27</v>
      </c>
      <c r="L130" s="10" t="s">
        <v>623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52" customHeight="1" x14ac:dyDescent="0.25">
      <c r="A131" s="1"/>
      <c r="B131" s="8" t="s">
        <v>617</v>
      </c>
      <c r="C131" s="9" t="s">
        <v>624</v>
      </c>
      <c r="D131" s="10" t="s">
        <v>625</v>
      </c>
      <c r="E131" s="10" t="s">
        <v>626</v>
      </c>
      <c r="F131" s="10" t="s">
        <v>627</v>
      </c>
      <c r="G131" s="10" t="s">
        <v>628</v>
      </c>
      <c r="H131" s="9" t="s">
        <v>25</v>
      </c>
      <c r="I131" s="9" t="s">
        <v>26</v>
      </c>
      <c r="J131" s="11"/>
      <c r="K131" s="12" t="s">
        <v>27</v>
      </c>
      <c r="L131" s="10" t="s">
        <v>629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52" customHeight="1" x14ac:dyDescent="0.25">
      <c r="A132" s="1"/>
      <c r="B132" s="8" t="s">
        <v>617</v>
      </c>
      <c r="C132" s="9" t="s">
        <v>630</v>
      </c>
      <c r="D132" s="10" t="s">
        <v>631</v>
      </c>
      <c r="E132" s="10" t="s">
        <v>632</v>
      </c>
      <c r="F132" s="10" t="s">
        <v>633</v>
      </c>
      <c r="G132" s="10" t="s">
        <v>634</v>
      </c>
      <c r="H132" s="9" t="s">
        <v>39</v>
      </c>
      <c r="I132" s="9" t="s">
        <v>26</v>
      </c>
      <c r="J132" s="11"/>
      <c r="K132" s="12" t="s">
        <v>27</v>
      </c>
      <c r="L132" s="10" t="s">
        <v>635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52" customHeight="1" x14ac:dyDescent="0.25">
      <c r="A133" s="1"/>
      <c r="B133" s="8" t="s">
        <v>636</v>
      </c>
      <c r="C133" s="9" t="s">
        <v>637</v>
      </c>
      <c r="D133" s="10" t="s">
        <v>638</v>
      </c>
      <c r="E133" s="10" t="s">
        <v>639</v>
      </c>
      <c r="F133" s="10" t="s">
        <v>640</v>
      </c>
      <c r="G133" s="10" t="s">
        <v>641</v>
      </c>
      <c r="H133" s="9" t="s">
        <v>25</v>
      </c>
      <c r="I133" s="9" t="s">
        <v>26</v>
      </c>
      <c r="J133" s="11"/>
      <c r="K133" s="12" t="s">
        <v>27</v>
      </c>
      <c r="L133" s="10" t="s">
        <v>642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52" customHeight="1" x14ac:dyDescent="0.25">
      <c r="A134" s="1"/>
      <c r="B134" s="8" t="s">
        <v>636</v>
      </c>
      <c r="C134" s="9" t="s">
        <v>643</v>
      </c>
      <c r="D134" s="10" t="s">
        <v>644</v>
      </c>
      <c r="E134" s="10" t="s">
        <v>645</v>
      </c>
      <c r="F134" s="10" t="s">
        <v>646</v>
      </c>
      <c r="G134" s="10" t="s">
        <v>647</v>
      </c>
      <c r="H134" s="9" t="s">
        <v>25</v>
      </c>
      <c r="I134" s="9" t="s">
        <v>26</v>
      </c>
      <c r="J134" s="11"/>
      <c r="K134" s="12" t="s">
        <v>27</v>
      </c>
      <c r="L134" s="10" t="s">
        <v>648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52" customHeight="1" x14ac:dyDescent="0.25">
      <c r="A135" s="1"/>
      <c r="B135" s="8" t="s">
        <v>636</v>
      </c>
      <c r="C135" s="9" t="s">
        <v>649</v>
      </c>
      <c r="D135" s="10" t="s">
        <v>650</v>
      </c>
      <c r="E135" s="10" t="s">
        <v>645</v>
      </c>
      <c r="F135" s="10" t="s">
        <v>651</v>
      </c>
      <c r="G135" s="10" t="s">
        <v>652</v>
      </c>
      <c r="H135" s="9" t="s">
        <v>25</v>
      </c>
      <c r="I135" s="9" t="s">
        <v>26</v>
      </c>
      <c r="J135" s="11"/>
      <c r="K135" s="12" t="s">
        <v>27</v>
      </c>
      <c r="L135" s="10" t="s">
        <v>653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52" customHeight="1" x14ac:dyDescent="0.25">
      <c r="A136" s="1"/>
      <c r="B136" s="8" t="s">
        <v>636</v>
      </c>
      <c r="C136" s="9" t="s">
        <v>654</v>
      </c>
      <c r="D136" s="10" t="s">
        <v>655</v>
      </c>
      <c r="E136" s="10" t="s">
        <v>656</v>
      </c>
      <c r="F136" s="10" t="s">
        <v>657</v>
      </c>
      <c r="G136" s="10" t="s">
        <v>658</v>
      </c>
      <c r="H136" s="9" t="s">
        <v>25</v>
      </c>
      <c r="I136" s="9" t="s">
        <v>26</v>
      </c>
      <c r="J136" s="11"/>
      <c r="K136" s="12" t="s">
        <v>27</v>
      </c>
      <c r="L136" s="10" t="s">
        <v>659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52" customHeight="1" x14ac:dyDescent="0.25">
      <c r="A137" s="1"/>
      <c r="B137" s="8" t="s">
        <v>636</v>
      </c>
      <c r="C137" s="9" t="s">
        <v>660</v>
      </c>
      <c r="D137" s="10" t="s">
        <v>661</v>
      </c>
      <c r="E137" s="10" t="s">
        <v>662</v>
      </c>
      <c r="F137" s="10" t="s">
        <v>663</v>
      </c>
      <c r="G137" s="10" t="s">
        <v>664</v>
      </c>
      <c r="H137" s="9" t="s">
        <v>25</v>
      </c>
      <c r="I137" s="9" t="s">
        <v>26</v>
      </c>
      <c r="J137" s="11"/>
      <c r="K137" s="12" t="s">
        <v>27</v>
      </c>
      <c r="L137" s="10" t="s">
        <v>665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52" customHeight="1" x14ac:dyDescent="0.25">
      <c r="A138" s="1"/>
      <c r="B138" s="8" t="s">
        <v>636</v>
      </c>
      <c r="C138" s="9" t="s">
        <v>666</v>
      </c>
      <c r="D138" s="10" t="s">
        <v>667</v>
      </c>
      <c r="E138" s="10" t="s">
        <v>668</v>
      </c>
      <c r="F138" s="10" t="s">
        <v>669</v>
      </c>
      <c r="G138" s="10" t="s">
        <v>670</v>
      </c>
      <c r="H138" s="9" t="s">
        <v>39</v>
      </c>
      <c r="I138" s="9" t="s">
        <v>26</v>
      </c>
      <c r="J138" s="11"/>
      <c r="K138" s="12" t="s">
        <v>27</v>
      </c>
      <c r="L138" s="10" t="s">
        <v>671</v>
      </c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52" customHeight="1" x14ac:dyDescent="0.25">
      <c r="A139" s="1"/>
      <c r="B139" s="8" t="s">
        <v>636</v>
      </c>
      <c r="C139" s="9" t="s">
        <v>672</v>
      </c>
      <c r="D139" s="10" t="s">
        <v>673</v>
      </c>
      <c r="E139" s="10" t="s">
        <v>639</v>
      </c>
      <c r="F139" s="10" t="s">
        <v>674</v>
      </c>
      <c r="G139" s="10" t="s">
        <v>675</v>
      </c>
      <c r="H139" s="9" t="s">
        <v>39</v>
      </c>
      <c r="I139" s="9" t="s">
        <v>26</v>
      </c>
      <c r="J139" s="11"/>
      <c r="K139" s="12" t="s">
        <v>27</v>
      </c>
      <c r="L139" s="10" t="s">
        <v>676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52" customHeight="1" x14ac:dyDescent="0.25">
      <c r="A140" s="1"/>
      <c r="B140" s="8" t="s">
        <v>677</v>
      </c>
      <c r="C140" s="9" t="s">
        <v>678</v>
      </c>
      <c r="D140" s="10" t="s">
        <v>679</v>
      </c>
      <c r="E140" s="10" t="s">
        <v>680</v>
      </c>
      <c r="F140" s="10" t="s">
        <v>681</v>
      </c>
      <c r="G140" s="10" t="s">
        <v>682</v>
      </c>
      <c r="H140" s="9" t="s">
        <v>39</v>
      </c>
      <c r="I140" s="9" t="s">
        <v>26</v>
      </c>
      <c r="J140" s="11"/>
      <c r="K140" s="12" t="s">
        <v>27</v>
      </c>
      <c r="L140" s="10" t="s">
        <v>683</v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52" customHeight="1" x14ac:dyDescent="0.25">
      <c r="A141" s="1"/>
      <c r="B141" s="8" t="s">
        <v>677</v>
      </c>
      <c r="C141" s="9" t="s">
        <v>684</v>
      </c>
      <c r="D141" s="10" t="s">
        <v>685</v>
      </c>
      <c r="E141" s="10" t="s">
        <v>686</v>
      </c>
      <c r="F141" s="10" t="s">
        <v>687</v>
      </c>
      <c r="G141" s="10" t="s">
        <v>688</v>
      </c>
      <c r="H141" s="9" t="s">
        <v>56</v>
      </c>
      <c r="I141" s="9" t="s">
        <v>26</v>
      </c>
      <c r="J141" s="11"/>
      <c r="K141" s="12" t="s">
        <v>27</v>
      </c>
      <c r="L141" s="10" t="s">
        <v>689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52" customHeight="1" x14ac:dyDescent="0.25">
      <c r="A142" s="1"/>
      <c r="B142" s="8" t="s">
        <v>690</v>
      </c>
      <c r="C142" s="9" t="s">
        <v>691</v>
      </c>
      <c r="D142" s="10" t="s">
        <v>692</v>
      </c>
      <c r="E142" s="10" t="s">
        <v>693</v>
      </c>
      <c r="F142" s="10" t="s">
        <v>694</v>
      </c>
      <c r="G142" s="10" t="s">
        <v>695</v>
      </c>
      <c r="H142" s="9" t="s">
        <v>39</v>
      </c>
      <c r="I142" s="9" t="s">
        <v>26</v>
      </c>
      <c r="J142" s="11"/>
      <c r="K142" s="12" t="s">
        <v>27</v>
      </c>
      <c r="L142" s="10" t="s">
        <v>696</v>
      </c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65" customHeight="1" x14ac:dyDescent="0.25">
      <c r="A143" s="1"/>
      <c r="B143" s="8" t="s">
        <v>697</v>
      </c>
      <c r="C143" s="9" t="s">
        <v>698</v>
      </c>
      <c r="D143" s="10" t="s">
        <v>699</v>
      </c>
      <c r="E143" s="10" t="s">
        <v>645</v>
      </c>
      <c r="F143" s="10" t="s">
        <v>700</v>
      </c>
      <c r="G143" s="10" t="s">
        <v>701</v>
      </c>
      <c r="H143" s="9" t="s">
        <v>25</v>
      </c>
      <c r="I143" s="9" t="s">
        <v>26</v>
      </c>
      <c r="J143" s="11"/>
      <c r="K143" s="12" t="s">
        <v>27</v>
      </c>
      <c r="L143" s="10" t="s">
        <v>702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52" customHeight="1" x14ac:dyDescent="0.25">
      <c r="A144" s="1"/>
      <c r="B144" s="8" t="s">
        <v>697</v>
      </c>
      <c r="C144" s="9" t="s">
        <v>703</v>
      </c>
      <c r="D144" s="10" t="s">
        <v>704</v>
      </c>
      <c r="E144" s="10" t="s">
        <v>705</v>
      </c>
      <c r="F144" s="10" t="s">
        <v>706</v>
      </c>
      <c r="G144" s="10" t="s">
        <v>707</v>
      </c>
      <c r="H144" s="9" t="s">
        <v>39</v>
      </c>
      <c r="I144" s="9" t="s">
        <v>26</v>
      </c>
      <c r="J144" s="11"/>
      <c r="K144" s="12" t="s">
        <v>27</v>
      </c>
      <c r="L144" s="10" t="s">
        <v>708</v>
      </c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52" customHeight="1" x14ac:dyDescent="0.25">
      <c r="A145" s="1"/>
      <c r="B145" s="8" t="s">
        <v>697</v>
      </c>
      <c r="C145" s="9" t="s">
        <v>709</v>
      </c>
      <c r="D145" s="10" t="s">
        <v>710</v>
      </c>
      <c r="E145" s="10" t="s">
        <v>711</v>
      </c>
      <c r="F145" s="10" t="s">
        <v>712</v>
      </c>
      <c r="G145" s="10" t="s">
        <v>713</v>
      </c>
      <c r="H145" s="9" t="s">
        <v>39</v>
      </c>
      <c r="I145" s="9" t="s">
        <v>26</v>
      </c>
      <c r="J145" s="11"/>
      <c r="K145" s="12" t="s">
        <v>27</v>
      </c>
      <c r="L145" s="10" t="s">
        <v>714</v>
      </c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52" customHeight="1" x14ac:dyDescent="0.25">
      <c r="A146" s="1"/>
      <c r="B146" s="8" t="s">
        <v>715</v>
      </c>
      <c r="C146" s="9" t="s">
        <v>716</v>
      </c>
      <c r="D146" s="10" t="s">
        <v>717</v>
      </c>
      <c r="E146" s="10" t="s">
        <v>718</v>
      </c>
      <c r="F146" s="10" t="s">
        <v>719</v>
      </c>
      <c r="G146" s="10" t="s">
        <v>720</v>
      </c>
      <c r="H146" s="9" t="s">
        <v>25</v>
      </c>
      <c r="I146" s="9" t="s">
        <v>26</v>
      </c>
      <c r="J146" s="11"/>
      <c r="K146" s="12" t="s">
        <v>27</v>
      </c>
      <c r="L146" s="10" t="s">
        <v>721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39" customHeight="1" x14ac:dyDescent="0.25">
      <c r="A147" s="1"/>
      <c r="B147" s="8" t="s">
        <v>722</v>
      </c>
      <c r="C147" s="9" t="s">
        <v>723</v>
      </c>
      <c r="D147" s="10" t="s">
        <v>724</v>
      </c>
      <c r="E147" s="10" t="s">
        <v>725</v>
      </c>
      <c r="F147" s="10" t="s">
        <v>726</v>
      </c>
      <c r="G147" s="10" t="s">
        <v>727</v>
      </c>
      <c r="H147" s="9" t="s">
        <v>39</v>
      </c>
      <c r="I147" s="9" t="s">
        <v>26</v>
      </c>
      <c r="J147" s="11"/>
      <c r="K147" s="12" t="s">
        <v>27</v>
      </c>
      <c r="L147" s="10" t="s">
        <v>728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2.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2.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2.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2.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2.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2.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2.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2.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2.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2.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2.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2.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2.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2.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2.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2.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2.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2.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2.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2.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2.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2.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2.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2.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2.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2.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2.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2.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2.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2.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2.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2.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2.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2.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2.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2.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2.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2.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2.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2.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2.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2.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2.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2.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2.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2.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2.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2.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2.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2.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2.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2.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2.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2.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2.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2.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2.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2.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2.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2.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2.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2.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2.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2.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2.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2.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2.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2.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2.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2.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2.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2.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2.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2.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2.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2.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2.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2.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2.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2.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2.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2.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2.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2.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2.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2.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2.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2.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2.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2.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2.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2.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2.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2.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2.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2.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2.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2.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2.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2.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2.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2.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2.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2.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2.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2.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2.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2.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2.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2.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2.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2.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2.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2.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2.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2.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2.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2.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2.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2.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2.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2.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2.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2.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2.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2.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2.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2.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2.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2.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2.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2.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2.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2.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2.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2.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2.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2.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2.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2.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2.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2.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2.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2.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2.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2.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2.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2.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2.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2.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2.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2.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2.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2.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2.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2.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2.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2.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2.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2.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2.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2.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2.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2.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2.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2.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2.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2.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2.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2.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2.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2.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2.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2.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2.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2.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2.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2.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2.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2.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2.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2.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2.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2.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2.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2.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2.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2.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2.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2.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2.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2.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2.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2.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2.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2.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2.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2.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2.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2.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2.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2.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2.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2.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2.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2.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2.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2.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2.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2.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2.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2.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2.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2.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2.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2.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2.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2.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2.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2.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2.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2.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2.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2.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2.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2.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2.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2.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2.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2.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2.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2.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2.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2.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2.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2.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2.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2.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2.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2.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2.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2.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2.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2.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2.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2.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2.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2.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2.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2.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2.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2.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2.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2.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2.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2.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2.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2.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2.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2.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2.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2.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2.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2.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2.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2.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2.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2.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2.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2.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2.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2.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2.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2.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2.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2.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2.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2.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2.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2.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2.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2.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2.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2.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2.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2.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2.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2.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2.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2.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2.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2.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2.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2.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2.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2.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2.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2.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2.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2.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2.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2.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2.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2.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2.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2.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2.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2.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2.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2.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2.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2.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2.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2.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2.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2.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2.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2.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2.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2.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2.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2.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2.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2.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2.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2.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2.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2.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2.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2.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2.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2.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2.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2.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2.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2.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2.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2.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2.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2.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2.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2.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2.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2.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2.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2.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2.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2.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2.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2.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2.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2.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2.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2.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2.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2.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2.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2.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2.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2.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2.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2.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2.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2.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2.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2.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2.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2.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2.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2.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2.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2.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2.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2.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2.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2.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2.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2.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2.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2.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2.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2.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2.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2.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2.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2.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2.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2.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2.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2.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2.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2.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2.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2.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2.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2.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2.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2.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2.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2.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2.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2.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2.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2.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2.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2.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2.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2.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2.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2.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2.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2.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2.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2.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2.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2.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2.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2.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2.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2.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2.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2.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2.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2.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2.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2.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2.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2.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2.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2.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2.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2.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2.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2.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2.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2.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2.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2.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2.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2.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2.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2.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2.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2.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2.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2.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2.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2.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2.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2.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2.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2.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2.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2.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2.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2.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2.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2.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2.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2.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2.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2.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2.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2.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2.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2.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2.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2.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2.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2.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2.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2.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2.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2.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2.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2.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2.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2.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2.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2.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2.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2.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2.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2.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2.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2.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2.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2.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2.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2.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2.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2.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2.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2.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2.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2.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2.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2.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2.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2.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2.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2.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2.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2.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2.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2.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2.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2.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2.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2.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2.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2.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2.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2.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2.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2.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2.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2.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2.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2.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2.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2.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2.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2.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2.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2.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2.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2.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2.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2.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2.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2.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2.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2.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2.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2.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2.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2.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2.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2.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2.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2.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2.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2.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2.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2.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2.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2.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2.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2.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2.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2.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2.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2.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2.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2.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2.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2.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2.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2.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2.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2.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2.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2.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2.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2.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2.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2.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2.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2.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2.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2.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2.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2.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2.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2.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2.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2.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2.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2.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2.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2.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2.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2.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2.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2.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2.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2.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2.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2.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2.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2.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2.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2.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2.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2.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2.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2.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2.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2.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2.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2.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2.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2.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2.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2.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2.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2.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2.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2.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2.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2.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2.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2.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2.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2.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2.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2.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2.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2.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2.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2.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2.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2.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2.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2.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2.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2.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2.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2.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2.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2.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2.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2.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2.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2.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2.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2.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2.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2.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2.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2.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2.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2.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2.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2.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2.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2.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2.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2.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2.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2.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2.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2.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2.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2.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2.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2.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2.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2.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2.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2.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2.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2.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2.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2.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2.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2.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2.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2.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2.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2.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2.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2.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2.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2.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2.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2.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2.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2.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2.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2.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2.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2.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2.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2.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2.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2.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2.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2.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2.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2.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2.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2.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2.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2.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2.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2.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2.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2.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2.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2.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2.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2.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2.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2.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2.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2.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2.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2.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2.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2.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2.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2.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2.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2.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2.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2.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2.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2.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2.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2.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2.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2.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2.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2.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2.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2.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2.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2.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2.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2.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2.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2.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2.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2.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2.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2.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2.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2.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2.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2.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2.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2.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2.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2.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2.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2.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2.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2.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2.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2.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2.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2.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2.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2.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2.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2.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2.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2.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1:31" ht="12.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1:31" ht="12.5" customHeight="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1:31" ht="12.5" customHeight="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spans="1:31" ht="12.5" customHeight="1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 spans="1:31" ht="12.5" customHeight="1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 spans="1:31" ht="12.5" customHeight="1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</sheetData>
  <autoFilter ref="B7:L147" xr:uid="{00000000-0009-0000-0000-000000000000}"/>
  <mergeCells count="4">
    <mergeCell ref="C4:G4"/>
    <mergeCell ref="C5:G5"/>
    <mergeCell ref="C2:G2"/>
    <mergeCell ref="C3:G3"/>
  </mergeCells>
  <conditionalFormatting sqref="K8:K147">
    <cfRule type="containsText" dxfId="2" priority="1" operator="containsText" text="Blocked">
      <formula>NOT(ISERROR(SEARCH("Blocked",K8)))</formula>
    </cfRule>
    <cfRule type="containsText" dxfId="1" priority="2" operator="containsText" text="Failed">
      <formula>NOT(ISERROR(SEARCH("Failed",K8)))</formula>
    </cfRule>
    <cfRule type="containsText" dxfId="0" priority="3" operator="containsText" text="Passed">
      <formula>NOT(ISERROR(SEARCH("Passed",K8)))</formula>
    </cfRule>
  </conditionalFormatting>
  <dataValidations count="3">
    <dataValidation type="list" allowBlank="1" sqref="I8:I147" xr:uid="{00000000-0002-0000-0000-000000000000}">
      <formula1>"Manual,Automated,To Automate"</formula1>
    </dataValidation>
    <dataValidation type="list" allowBlank="1" sqref="K8:K147" xr:uid="{00000000-0002-0000-0000-000001000000}">
      <formula1>"Passed,Failed,Blocked,Untested"</formula1>
    </dataValidation>
    <dataValidation type="list" allowBlank="1" sqref="H8:H147" xr:uid="{00000000-0002-0000-0000-000002000000}">
      <formula1>"Alta,Media,Baja"</formula1>
    </dataValidation>
  </dataValidations>
  <pageMargins left="0.3" right="0.3" top="0" bottom="0" header="0" footer="0"/>
  <pageSetup scale="55" fitToHeight="0" orientation="landscape" r:id="rId1"/>
  <headerFooter>
    <oddFooter>&amp;CPágina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G44"/>
  <sheetViews>
    <sheetView workbookViewId="0"/>
  </sheetViews>
  <sheetFormatPr defaultRowHeight="12.5" x14ac:dyDescent="0.25"/>
  <cols>
    <col min="2" max="2" width="10" customWidth="1"/>
    <col min="3" max="3" width="38" customWidth="1"/>
    <col min="4" max="4" width="11" customWidth="1"/>
    <col min="5" max="5" width="46" customWidth="1"/>
    <col min="6" max="6" width="10" customWidth="1"/>
    <col min="7" max="7" width="44" customWidth="1"/>
  </cols>
  <sheetData>
    <row r="2" spans="2:7" ht="15.5" customHeight="1" x14ac:dyDescent="0.35">
      <c r="B2" s="13" t="s">
        <v>729</v>
      </c>
    </row>
    <row r="4" spans="2:7" ht="14" customHeight="1" x14ac:dyDescent="0.25">
      <c r="B4" s="7" t="s">
        <v>730</v>
      </c>
      <c r="C4" s="7" t="s">
        <v>731</v>
      </c>
      <c r="D4" s="7" t="s">
        <v>14</v>
      </c>
      <c r="E4" s="7" t="s">
        <v>732</v>
      </c>
      <c r="F4" s="7" t="s">
        <v>733</v>
      </c>
      <c r="G4" s="7" t="s">
        <v>734</v>
      </c>
    </row>
    <row r="5" spans="2:7" ht="25" customHeight="1" x14ac:dyDescent="0.25">
      <c r="B5" s="14" t="s">
        <v>735</v>
      </c>
      <c r="C5" s="15" t="s">
        <v>736</v>
      </c>
      <c r="D5" s="14" t="s">
        <v>25</v>
      </c>
      <c r="E5" s="15" t="s">
        <v>737</v>
      </c>
      <c r="F5" s="14">
        <v>7</v>
      </c>
      <c r="G5" s="15"/>
    </row>
    <row r="6" spans="2:7" x14ac:dyDescent="0.25">
      <c r="B6" s="14" t="s">
        <v>738</v>
      </c>
      <c r="C6" s="15" t="s">
        <v>739</v>
      </c>
      <c r="D6" s="14" t="s">
        <v>25</v>
      </c>
      <c r="E6" s="15" t="s">
        <v>740</v>
      </c>
      <c r="F6" s="14">
        <v>6</v>
      </c>
      <c r="G6" s="15"/>
    </row>
    <row r="7" spans="2:7" x14ac:dyDescent="0.25">
      <c r="B7" s="14" t="s">
        <v>741</v>
      </c>
      <c r="C7" s="15" t="s">
        <v>742</v>
      </c>
      <c r="D7" s="14" t="s">
        <v>39</v>
      </c>
      <c r="E7" s="15" t="s">
        <v>743</v>
      </c>
      <c r="F7" s="14">
        <v>6</v>
      </c>
      <c r="G7" s="15"/>
    </row>
    <row r="8" spans="2:7" x14ac:dyDescent="0.25">
      <c r="B8" s="14" t="s">
        <v>744</v>
      </c>
      <c r="C8" s="15" t="s">
        <v>745</v>
      </c>
      <c r="D8" s="14" t="s">
        <v>25</v>
      </c>
      <c r="E8" s="15" t="s">
        <v>746</v>
      </c>
      <c r="F8" s="14">
        <v>5</v>
      </c>
      <c r="G8" s="15"/>
    </row>
    <row r="9" spans="2:7" x14ac:dyDescent="0.25">
      <c r="B9" s="14" t="s">
        <v>747</v>
      </c>
      <c r="C9" s="15" t="s">
        <v>748</v>
      </c>
      <c r="D9" s="14" t="s">
        <v>25</v>
      </c>
      <c r="E9" s="15" t="s">
        <v>749</v>
      </c>
      <c r="F9" s="14">
        <v>4</v>
      </c>
      <c r="G9" s="15"/>
    </row>
    <row r="10" spans="2:7" ht="25" customHeight="1" x14ac:dyDescent="0.25">
      <c r="B10" s="14" t="s">
        <v>750</v>
      </c>
      <c r="C10" s="15" t="s">
        <v>751</v>
      </c>
      <c r="D10" s="14" t="s">
        <v>39</v>
      </c>
      <c r="E10" s="15" t="s">
        <v>752</v>
      </c>
      <c r="F10" s="14">
        <v>7</v>
      </c>
      <c r="G10" s="15"/>
    </row>
    <row r="11" spans="2:7" x14ac:dyDescent="0.25">
      <c r="B11" s="14" t="s">
        <v>753</v>
      </c>
      <c r="C11" s="15" t="s">
        <v>754</v>
      </c>
      <c r="D11" s="14" t="s">
        <v>25</v>
      </c>
      <c r="E11" s="15" t="s">
        <v>755</v>
      </c>
      <c r="F11" s="14">
        <v>5</v>
      </c>
      <c r="G11" s="15"/>
    </row>
    <row r="12" spans="2:7" x14ac:dyDescent="0.25">
      <c r="B12" s="14" t="s">
        <v>756</v>
      </c>
      <c r="C12" s="15" t="s">
        <v>757</v>
      </c>
      <c r="D12" s="14" t="s">
        <v>25</v>
      </c>
      <c r="E12" s="15" t="s">
        <v>758</v>
      </c>
      <c r="F12" s="14">
        <v>6</v>
      </c>
      <c r="G12" s="15" t="s">
        <v>759</v>
      </c>
    </row>
    <row r="13" spans="2:7" x14ac:dyDescent="0.25">
      <c r="B13" s="14" t="s">
        <v>760</v>
      </c>
      <c r="C13" s="15" t="s">
        <v>761</v>
      </c>
      <c r="D13" s="14" t="s">
        <v>25</v>
      </c>
      <c r="E13" s="15" t="s">
        <v>762</v>
      </c>
      <c r="F13" s="14">
        <v>5</v>
      </c>
      <c r="G13" s="15"/>
    </row>
    <row r="14" spans="2:7" x14ac:dyDescent="0.25">
      <c r="B14" s="14" t="s">
        <v>763</v>
      </c>
      <c r="C14" s="15" t="s">
        <v>764</v>
      </c>
      <c r="D14" s="14" t="s">
        <v>25</v>
      </c>
      <c r="E14" s="15" t="s">
        <v>765</v>
      </c>
      <c r="F14" s="14">
        <v>3</v>
      </c>
      <c r="G14" s="15"/>
    </row>
    <row r="15" spans="2:7" ht="25" customHeight="1" x14ac:dyDescent="0.25">
      <c r="B15" s="14" t="s">
        <v>766</v>
      </c>
      <c r="C15" s="15" t="s">
        <v>767</v>
      </c>
      <c r="D15" s="14" t="s">
        <v>25</v>
      </c>
      <c r="E15" s="15" t="s">
        <v>768</v>
      </c>
      <c r="F15" s="14">
        <v>8</v>
      </c>
      <c r="G15" s="15"/>
    </row>
    <row r="16" spans="2:7" x14ac:dyDescent="0.25">
      <c r="B16" s="14" t="s">
        <v>769</v>
      </c>
      <c r="C16" s="15" t="s">
        <v>770</v>
      </c>
      <c r="D16" s="14" t="s">
        <v>25</v>
      </c>
      <c r="E16" s="15" t="s">
        <v>771</v>
      </c>
      <c r="F16" s="14">
        <v>4</v>
      </c>
      <c r="G16" s="15"/>
    </row>
    <row r="17" spans="2:7" x14ac:dyDescent="0.25">
      <c r="B17" s="14" t="s">
        <v>772</v>
      </c>
      <c r="C17" s="15" t="s">
        <v>773</v>
      </c>
      <c r="D17" s="14" t="s">
        <v>25</v>
      </c>
      <c r="E17" s="15" t="s">
        <v>774</v>
      </c>
      <c r="F17" s="14">
        <v>5</v>
      </c>
      <c r="G17" s="15"/>
    </row>
    <row r="18" spans="2:7" ht="25" customHeight="1" x14ac:dyDescent="0.25">
      <c r="B18" s="14" t="s">
        <v>775</v>
      </c>
      <c r="C18" s="15" t="s">
        <v>776</v>
      </c>
      <c r="D18" s="14" t="s">
        <v>25</v>
      </c>
      <c r="E18" s="15" t="s">
        <v>777</v>
      </c>
      <c r="F18" s="14">
        <v>7</v>
      </c>
      <c r="G18" s="15"/>
    </row>
    <row r="19" spans="2:7" x14ac:dyDescent="0.25">
      <c r="B19" s="14" t="s">
        <v>778</v>
      </c>
      <c r="C19" s="15" t="s">
        <v>779</v>
      </c>
      <c r="D19" s="14" t="s">
        <v>25</v>
      </c>
      <c r="E19" s="15" t="s">
        <v>780</v>
      </c>
      <c r="F19" s="14">
        <v>5</v>
      </c>
      <c r="G19" s="15"/>
    </row>
    <row r="20" spans="2:7" x14ac:dyDescent="0.25">
      <c r="B20" s="14" t="s">
        <v>781</v>
      </c>
      <c r="C20" s="15" t="s">
        <v>782</v>
      </c>
      <c r="D20" s="14" t="s">
        <v>39</v>
      </c>
      <c r="E20" s="15" t="s">
        <v>783</v>
      </c>
      <c r="F20" s="14">
        <v>3</v>
      </c>
      <c r="G20" s="15"/>
    </row>
    <row r="21" spans="2:7" ht="25" customHeight="1" x14ac:dyDescent="0.25">
      <c r="B21" s="14" t="s">
        <v>784</v>
      </c>
      <c r="C21" s="15" t="s">
        <v>785</v>
      </c>
      <c r="D21" s="14" t="s">
        <v>25</v>
      </c>
      <c r="E21" s="15" t="s">
        <v>786</v>
      </c>
      <c r="F21" s="14">
        <v>7</v>
      </c>
      <c r="G21" s="15"/>
    </row>
    <row r="22" spans="2:7" x14ac:dyDescent="0.25">
      <c r="B22" s="14" t="s">
        <v>787</v>
      </c>
      <c r="C22" s="15" t="s">
        <v>788</v>
      </c>
      <c r="D22" s="14" t="s">
        <v>39</v>
      </c>
      <c r="E22" s="15" t="s">
        <v>789</v>
      </c>
      <c r="F22" s="14">
        <v>5</v>
      </c>
      <c r="G22" s="15"/>
    </row>
    <row r="23" spans="2:7" x14ac:dyDescent="0.25">
      <c r="B23" s="14" t="s">
        <v>790</v>
      </c>
      <c r="C23" s="15" t="s">
        <v>791</v>
      </c>
      <c r="D23" s="14" t="s">
        <v>25</v>
      </c>
      <c r="E23" s="15" t="s">
        <v>792</v>
      </c>
      <c r="F23" s="14">
        <v>6</v>
      </c>
      <c r="G23" s="15"/>
    </row>
    <row r="24" spans="2:7" ht="25" customHeight="1" x14ac:dyDescent="0.25">
      <c r="B24" s="14" t="s">
        <v>793</v>
      </c>
      <c r="C24" s="15" t="s">
        <v>794</v>
      </c>
      <c r="D24" s="14" t="s">
        <v>25</v>
      </c>
      <c r="E24" s="15" t="s">
        <v>795</v>
      </c>
      <c r="F24" s="14">
        <v>7</v>
      </c>
      <c r="G24" s="15"/>
    </row>
    <row r="25" spans="2:7" x14ac:dyDescent="0.25">
      <c r="B25" s="14" t="s">
        <v>796</v>
      </c>
      <c r="C25" s="15" t="s">
        <v>797</v>
      </c>
      <c r="D25" s="14" t="s">
        <v>39</v>
      </c>
      <c r="E25" s="15" t="s">
        <v>798</v>
      </c>
      <c r="F25" s="14">
        <v>6</v>
      </c>
      <c r="G25" s="15"/>
    </row>
    <row r="26" spans="2:7" x14ac:dyDescent="0.25">
      <c r="B26" s="14" t="s">
        <v>799</v>
      </c>
      <c r="C26" s="15" t="s">
        <v>800</v>
      </c>
      <c r="D26" s="14" t="s">
        <v>56</v>
      </c>
      <c r="E26" s="15" t="s">
        <v>801</v>
      </c>
      <c r="F26" s="14">
        <v>5</v>
      </c>
      <c r="G26" s="15"/>
    </row>
    <row r="27" spans="2:7" x14ac:dyDescent="0.25">
      <c r="B27" s="14" t="s">
        <v>802</v>
      </c>
      <c r="C27" s="15" t="s">
        <v>803</v>
      </c>
      <c r="D27" s="14" t="s">
        <v>25</v>
      </c>
      <c r="E27" s="15" t="s">
        <v>618</v>
      </c>
      <c r="F27" s="14">
        <v>1</v>
      </c>
      <c r="G27" s="15" t="s">
        <v>804</v>
      </c>
    </row>
    <row r="28" spans="2:7" ht="25" customHeight="1" x14ac:dyDescent="0.25">
      <c r="B28" s="14" t="s">
        <v>805</v>
      </c>
      <c r="C28" s="15" t="s">
        <v>806</v>
      </c>
      <c r="D28" s="14" t="s">
        <v>25</v>
      </c>
      <c r="E28" s="15" t="s">
        <v>624</v>
      </c>
      <c r="F28" s="14">
        <v>1</v>
      </c>
      <c r="G28" s="15" t="s">
        <v>804</v>
      </c>
    </row>
    <row r="29" spans="2:7" x14ac:dyDescent="0.25">
      <c r="B29" s="14" t="s">
        <v>807</v>
      </c>
      <c r="C29" s="15" t="s">
        <v>808</v>
      </c>
      <c r="D29" s="14" t="s">
        <v>39</v>
      </c>
      <c r="E29" s="15" t="s">
        <v>630</v>
      </c>
      <c r="F29" s="14">
        <v>1</v>
      </c>
      <c r="G29" s="15" t="s">
        <v>804</v>
      </c>
    </row>
    <row r="30" spans="2:7" x14ac:dyDescent="0.25">
      <c r="B30" s="14" t="s">
        <v>809</v>
      </c>
      <c r="C30" s="15" t="s">
        <v>810</v>
      </c>
      <c r="D30" s="14" t="s">
        <v>25</v>
      </c>
      <c r="E30" s="15" t="s">
        <v>637</v>
      </c>
      <c r="F30" s="14">
        <v>1</v>
      </c>
      <c r="G30" s="15" t="s">
        <v>811</v>
      </c>
    </row>
    <row r="31" spans="2:7" x14ac:dyDescent="0.25">
      <c r="B31" s="14" t="s">
        <v>812</v>
      </c>
      <c r="C31" s="15" t="s">
        <v>813</v>
      </c>
      <c r="D31" s="14" t="s">
        <v>25</v>
      </c>
      <c r="E31" s="15" t="s">
        <v>643</v>
      </c>
      <c r="F31" s="14">
        <v>1</v>
      </c>
      <c r="G31" s="15" t="s">
        <v>811</v>
      </c>
    </row>
    <row r="32" spans="2:7" x14ac:dyDescent="0.25">
      <c r="B32" s="14" t="s">
        <v>814</v>
      </c>
      <c r="C32" s="15" t="s">
        <v>815</v>
      </c>
      <c r="D32" s="14" t="s">
        <v>25</v>
      </c>
      <c r="E32" s="15" t="s">
        <v>649</v>
      </c>
      <c r="F32" s="14">
        <v>1</v>
      </c>
      <c r="G32" s="15" t="s">
        <v>811</v>
      </c>
    </row>
    <row r="33" spans="2:7" x14ac:dyDescent="0.25">
      <c r="B33" s="14" t="s">
        <v>816</v>
      </c>
      <c r="C33" s="15" t="s">
        <v>817</v>
      </c>
      <c r="D33" s="14" t="s">
        <v>25</v>
      </c>
      <c r="E33" s="15" t="s">
        <v>654</v>
      </c>
      <c r="F33" s="14">
        <v>1</v>
      </c>
      <c r="G33" s="15" t="s">
        <v>811</v>
      </c>
    </row>
    <row r="34" spans="2:7" x14ac:dyDescent="0.25">
      <c r="B34" s="14" t="s">
        <v>818</v>
      </c>
      <c r="C34" s="15" t="s">
        <v>819</v>
      </c>
      <c r="D34" s="14" t="s">
        <v>25</v>
      </c>
      <c r="E34" s="15" t="s">
        <v>660</v>
      </c>
      <c r="F34" s="14">
        <v>1</v>
      </c>
      <c r="G34" s="15" t="s">
        <v>811</v>
      </c>
    </row>
    <row r="35" spans="2:7" x14ac:dyDescent="0.25">
      <c r="B35" s="14" t="s">
        <v>820</v>
      </c>
      <c r="C35" s="15" t="s">
        <v>821</v>
      </c>
      <c r="D35" s="14" t="s">
        <v>39</v>
      </c>
      <c r="E35" s="15" t="s">
        <v>666</v>
      </c>
      <c r="F35" s="14">
        <v>1</v>
      </c>
      <c r="G35" s="15" t="s">
        <v>811</v>
      </c>
    </row>
    <row r="36" spans="2:7" x14ac:dyDescent="0.25">
      <c r="B36" s="14" t="s">
        <v>822</v>
      </c>
      <c r="C36" s="15" t="s">
        <v>823</v>
      </c>
      <c r="D36" s="14" t="s">
        <v>39</v>
      </c>
      <c r="E36" s="15" t="s">
        <v>672</v>
      </c>
      <c r="F36" s="14">
        <v>1</v>
      </c>
      <c r="G36" s="15" t="s">
        <v>811</v>
      </c>
    </row>
    <row r="37" spans="2:7" x14ac:dyDescent="0.25">
      <c r="B37" s="14" t="s">
        <v>824</v>
      </c>
      <c r="C37" s="15" t="s">
        <v>825</v>
      </c>
      <c r="D37" s="14" t="s">
        <v>39</v>
      </c>
      <c r="E37" s="15" t="s">
        <v>678</v>
      </c>
      <c r="F37" s="14">
        <v>1</v>
      </c>
      <c r="G37" s="15" t="s">
        <v>826</v>
      </c>
    </row>
    <row r="38" spans="2:7" x14ac:dyDescent="0.25">
      <c r="B38" s="14" t="s">
        <v>827</v>
      </c>
      <c r="C38" s="15" t="s">
        <v>828</v>
      </c>
      <c r="D38" s="14" t="s">
        <v>56</v>
      </c>
      <c r="E38" s="15" t="s">
        <v>684</v>
      </c>
      <c r="F38" s="14">
        <v>1</v>
      </c>
      <c r="G38" s="15" t="s">
        <v>826</v>
      </c>
    </row>
    <row r="39" spans="2:7" x14ac:dyDescent="0.25">
      <c r="B39" s="14" t="s">
        <v>829</v>
      </c>
      <c r="C39" s="15" t="s">
        <v>830</v>
      </c>
      <c r="D39" s="14" t="s">
        <v>39</v>
      </c>
      <c r="E39" s="15" t="s">
        <v>691</v>
      </c>
      <c r="F39" s="14">
        <v>1</v>
      </c>
      <c r="G39" s="15" t="s">
        <v>831</v>
      </c>
    </row>
    <row r="40" spans="2:7" x14ac:dyDescent="0.25">
      <c r="B40" s="14" t="s">
        <v>832</v>
      </c>
      <c r="C40" s="15" t="s">
        <v>833</v>
      </c>
      <c r="D40" s="14" t="s">
        <v>25</v>
      </c>
      <c r="E40" s="15" t="s">
        <v>698</v>
      </c>
      <c r="F40" s="14">
        <v>1</v>
      </c>
      <c r="G40" s="15" t="s">
        <v>834</v>
      </c>
    </row>
    <row r="41" spans="2:7" x14ac:dyDescent="0.25">
      <c r="B41" s="14" t="s">
        <v>835</v>
      </c>
      <c r="C41" s="15" t="s">
        <v>836</v>
      </c>
      <c r="D41" s="14" t="s">
        <v>39</v>
      </c>
      <c r="E41" s="15" t="s">
        <v>703</v>
      </c>
      <c r="F41" s="14">
        <v>1</v>
      </c>
      <c r="G41" s="15" t="s">
        <v>834</v>
      </c>
    </row>
    <row r="42" spans="2:7" x14ac:dyDescent="0.25">
      <c r="B42" s="14" t="s">
        <v>837</v>
      </c>
      <c r="C42" s="15" t="s">
        <v>838</v>
      </c>
      <c r="D42" s="14" t="s">
        <v>39</v>
      </c>
      <c r="E42" s="15" t="s">
        <v>709</v>
      </c>
      <c r="F42" s="14">
        <v>1</v>
      </c>
      <c r="G42" s="15" t="s">
        <v>834</v>
      </c>
    </row>
    <row r="43" spans="2:7" x14ac:dyDescent="0.25">
      <c r="B43" s="14" t="s">
        <v>839</v>
      </c>
      <c r="C43" s="15" t="s">
        <v>840</v>
      </c>
      <c r="D43" s="14" t="s">
        <v>25</v>
      </c>
      <c r="E43" s="15" t="s">
        <v>716</v>
      </c>
      <c r="F43" s="14">
        <v>1</v>
      </c>
      <c r="G43" s="15" t="s">
        <v>841</v>
      </c>
    </row>
    <row r="44" spans="2:7" x14ac:dyDescent="0.25">
      <c r="B44" s="14" t="s">
        <v>842</v>
      </c>
      <c r="C44" s="15" t="s">
        <v>843</v>
      </c>
      <c r="D44" s="14" t="s">
        <v>39</v>
      </c>
      <c r="E44" s="15" t="s">
        <v>723</v>
      </c>
      <c r="F44" s="14">
        <v>1</v>
      </c>
      <c r="G44" s="15" t="s">
        <v>844</v>
      </c>
    </row>
  </sheetData>
  <pageMargins left="0.3" right="0.3" top="1" bottom="1" header="0.5" footer="0.5"/>
  <pageSetup scale="85" fitToHeight="0" orientation="landscape" r:id="rId1"/>
  <headerFooter>
    <oddFooter>&amp;CPágina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C12"/>
  <sheetViews>
    <sheetView workbookViewId="0"/>
  </sheetViews>
  <sheetFormatPr defaultRowHeight="12.5" x14ac:dyDescent="0.25"/>
  <cols>
    <col min="2" max="2" width="32" customWidth="1"/>
    <col min="3" max="3" width="16" customWidth="1"/>
  </cols>
  <sheetData>
    <row r="2" spans="2:3" ht="15.5" customHeight="1" x14ac:dyDescent="0.35">
      <c r="B2" s="13" t="s">
        <v>845</v>
      </c>
    </row>
    <row r="4" spans="2:3" ht="13" customHeight="1" x14ac:dyDescent="0.3">
      <c r="B4" s="16" t="s">
        <v>846</v>
      </c>
      <c r="C4" s="17">
        <f>COUNTA('Casos de prueba'!C8:C147)</f>
        <v>140</v>
      </c>
    </row>
    <row r="5" spans="2:3" ht="13" customHeight="1" x14ac:dyDescent="0.3">
      <c r="B5" s="16" t="s">
        <v>847</v>
      </c>
      <c r="C5" s="17">
        <f>COUNTIF('Casos de prueba'!K8:K147,"Passed")</f>
        <v>0</v>
      </c>
    </row>
    <row r="6" spans="2:3" ht="13" customHeight="1" x14ac:dyDescent="0.3">
      <c r="B6" s="16" t="s">
        <v>848</v>
      </c>
      <c r="C6" s="17">
        <f>COUNTIF('Casos de prueba'!K8:K147,"Failed")</f>
        <v>0</v>
      </c>
    </row>
    <row r="7" spans="2:3" ht="13" customHeight="1" x14ac:dyDescent="0.3">
      <c r="B7" s="16" t="s">
        <v>849</v>
      </c>
      <c r="C7" s="17">
        <f>COUNTIF('Casos de prueba'!K8:K147,"Blocked")</f>
        <v>0</v>
      </c>
    </row>
    <row r="8" spans="2:3" ht="13" customHeight="1" x14ac:dyDescent="0.3">
      <c r="B8" s="16" t="s">
        <v>27</v>
      </c>
      <c r="C8" s="17">
        <f>COUNTIF('Casos de prueba'!K8:K147,"Untested")</f>
        <v>140</v>
      </c>
    </row>
    <row r="9" spans="2:3" ht="13" customHeight="1" x14ac:dyDescent="0.3">
      <c r="B9" s="16" t="s">
        <v>850</v>
      </c>
      <c r="C9" s="18">
        <f>IFERROR(C5/C4,0)</f>
        <v>0</v>
      </c>
    </row>
    <row r="10" spans="2:3" ht="13" customHeight="1" x14ac:dyDescent="0.3">
      <c r="B10" s="16" t="s">
        <v>851</v>
      </c>
      <c r="C10" s="17">
        <v>122</v>
      </c>
    </row>
    <row r="11" spans="2:3" ht="13" customHeight="1" x14ac:dyDescent="0.3">
      <c r="B11" s="16" t="s">
        <v>852</v>
      </c>
      <c r="C11" s="17">
        <v>18</v>
      </c>
    </row>
    <row r="12" spans="2:3" ht="13" customHeight="1" x14ac:dyDescent="0.3">
      <c r="B12" s="16" t="s">
        <v>853</v>
      </c>
      <c r="C12" s="17" t="s">
        <v>854</v>
      </c>
    </row>
  </sheetData>
  <pageMargins left="0.3" right="0.3" top="1" bottom="1" header="0.5" footer="0.5"/>
  <pageSetup fitToHeight="0" orientation="landscape" r:id="rId1"/>
  <headerFooter>
    <oddFooter>&amp;CPágina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Casos de prueba</vt:lpstr>
      <vt:lpstr>Trazabilidad</vt:lpstr>
      <vt:lpstr>Resumen</vt:lpstr>
      <vt:lpstr>'Casos de prueba'!Print_Area</vt:lpstr>
      <vt:lpstr>Resumen!Print_Area</vt:lpstr>
      <vt:lpstr>Trazabilidad!Print_Area</vt:lpstr>
      <vt:lpstr>'Casos de prueba'!Print_Titles</vt:lpstr>
      <vt:lpstr>Trazabilidad!Print_Titles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Rodriguez, Sebastian</cp:lastModifiedBy>
  <dcterms:created xsi:type="dcterms:W3CDTF">2022-02-23T23:20:48Z</dcterms:created>
  <dcterms:modified xsi:type="dcterms:W3CDTF">2026-10-26T23:25:45Z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0x010100628BF68854599140B45209D35329445A</vt:lpwstr>
  </property>
  <property fmtid="{D5CDD505-2E9C-101B-9397-08002B2CF9AE}" pid="3" name="MediaServiceImageTags">
    <vt:lpwstr/>
  </property>
  <property fmtid="{D5CDD505-2E9C-101B-9397-08002B2CF9AE}" pid="4" name="MSIP_Label_19e68092-05df-4271-8e3e-b2a4c82ba797_Enabled">
    <vt:lpwstr>true</vt:lpwstr>
  </property>
  <property fmtid="{D5CDD505-2E9C-101B-9397-08002B2CF9AE}" pid="5" name="MSIP_Label_19e68092-05df-4271-8e3e-b2a4c82ba797_SetDate">
    <vt:lpwstr>2026-10-07T03:14:29Z</vt:lpwstr>
  </property>
  <property fmtid="{D5CDD505-2E9C-101B-9397-08002B2CF9AE}" pid="6" name="MSIP_Label_19e68092-05df-4271-8e3e-b2a4c82ba797_Method">
    <vt:lpwstr>Standard</vt:lpwstr>
  </property>
  <property fmtid="{D5CDD505-2E9C-101B-9397-08002B2CF9AE}" pid="7" name="MSIP_Label_19e68092-05df-4271-8e3e-b2a4c82ba797_Name">
    <vt:lpwstr>Amazon Confidential</vt:lpwstr>
  </property>
  <property fmtid="{D5CDD505-2E9C-101B-9397-08002B2CF9AE}" pid="8" name="MSIP_Label_19e68092-05df-4271-8e3e-b2a4c82ba797_SiteId">
    <vt:lpwstr>5280104a-472d-4538-9ccf-1e1d0efe8b1b</vt:lpwstr>
  </property>
  <property fmtid="{D5CDD505-2E9C-101B-9397-08002B2CF9AE}" pid="9" name="MSIP_Label_19e68092-05df-4271-8e3e-b2a4c82ba797_ActionId">
    <vt:lpwstr>ac1e88fa-b4b3-4707-af3f-e658a8671ebb</vt:lpwstr>
  </property>
  <property fmtid="{D5CDD505-2E9C-101B-9397-08002B2CF9AE}" pid="10" name="MSIP_Label_19e68092-05df-4271-8e3e-b2a4c82ba797_ContentBits">
    <vt:lpwstr>0</vt:lpwstr>
  </property>
  <property fmtid="{D5CDD505-2E9C-101B-9397-08002B2CF9AE}" pid="11" name="MSIP_Label_19e68092-05df-4271-8e3e-b2a4c82ba797_Tag">
    <vt:lpwstr>10, 3, 0, 1</vt:lpwstr>
  </property>
</Properties>
</file>